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Evaluation\prestashopReact\"/>
    </mc:Choice>
  </mc:AlternateContent>
  <xr:revisionPtr revIDLastSave="0" documentId="13_ncr:1_{64161726-7A33-4770-BB8B-5AB9467A7BA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2" l="1"/>
  <c r="K25" i="2" s="1"/>
  <c r="J21" i="2"/>
  <c r="K21" i="2" s="1"/>
  <c r="J24" i="2"/>
  <c r="K24" i="2" s="1"/>
  <c r="J23" i="2"/>
  <c r="K23" i="2" s="1"/>
  <c r="J22" i="2"/>
  <c r="K22" i="2" s="1"/>
  <c r="J7" i="2"/>
  <c r="K7" i="2" s="1"/>
  <c r="J20" i="2"/>
  <c r="K20" i="2" s="1"/>
  <c r="J19" i="2"/>
  <c r="K19" i="2" s="1"/>
  <c r="J18" i="2"/>
  <c r="K18" i="2" s="1"/>
  <c r="J17" i="2"/>
  <c r="K17" i="2" s="1"/>
  <c r="I16" i="2"/>
  <c r="I15" i="2"/>
  <c r="J15" i="2" s="1"/>
  <c r="I14" i="2"/>
  <c r="J10" i="2"/>
  <c r="K10" i="2" s="1"/>
  <c r="J9" i="2"/>
  <c r="K9" i="2" s="1"/>
  <c r="J2" i="2"/>
  <c r="B10" i="5"/>
  <c r="B9" i="5"/>
  <c r="B8" i="5"/>
  <c r="B7" i="5"/>
  <c r="B6" i="5"/>
  <c r="B5" i="5"/>
  <c r="B4" i="5"/>
  <c r="B3" i="5"/>
  <c r="B2" i="5"/>
  <c r="A2" i="4"/>
  <c r="J8" i="2"/>
  <c r="J6" i="2"/>
  <c r="K6" i="2" s="1"/>
  <c r="J5" i="2"/>
  <c r="K5" i="2" s="1"/>
  <c r="J4" i="2"/>
  <c r="K4" i="2" s="1"/>
  <c r="K15" i="2" l="1"/>
  <c r="J16" i="2"/>
  <c r="K16" i="2" s="1"/>
  <c r="J14" i="2"/>
  <c r="K14" i="2" s="1"/>
  <c r="J13" i="2"/>
  <c r="K13" i="2" s="1"/>
  <c r="B2" i="4"/>
  <c r="J12" i="2"/>
  <c r="K12" i="2" s="1"/>
  <c r="K8" i="2"/>
  <c r="K2" i="2"/>
  <c r="J3" i="2"/>
  <c r="J11" i="2"/>
  <c r="K11" i="2" s="1"/>
  <c r="C2" i="4" l="1"/>
  <c r="D2" i="4" s="1"/>
  <c r="B12" i="3" s="1"/>
  <c r="K3" i="2"/>
  <c r="E2" i="4" l="1"/>
  <c r="C3" i="4"/>
</calcChain>
</file>

<file path=xl/sharedStrings.xml><?xml version="1.0" encoding="utf-8"?>
<sst xmlns="http://schemas.openxmlformats.org/spreadsheetml/2006/main" count="180" uniqueCount="87">
  <si>
    <t>ETU00XXXX</t>
  </si>
  <si>
    <t>A</t>
  </si>
  <si>
    <t>ETU00YYYY</t>
  </si>
  <si>
    <t>ETU00ZZZZ</t>
  </si>
  <si>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</si>
  <si>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</si>
  <si>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</si>
  <si>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</si>
  <si>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</si>
  <si>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</si>
  <si>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</si>
  <si>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</si>
  <si>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</si>
  <si>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</si>
  <si>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</si>
  <si>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</si>
  <si>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Gestion Login</t>
  </si>
  <si>
    <t>Index</t>
  </si>
  <si>
    <t>Affichage</t>
  </si>
  <si>
    <t>Metier</t>
  </si>
  <si>
    <t>Base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</si>
  <si>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</si>
  <si>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</si>
  <si>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</si>
  <si>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</si>
  <si>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</si>
  <si>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</si>
  <si>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</si>
  <si>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/>
  </si>
  <si>
    <t>SUM of Estimation</t>
  </si>
  <si>
    <t>SUM of Temps passé</t>
  </si>
  <si>
    <t>SUM of Reste à faire</t>
  </si>
  <si>
    <t>(blank)</t>
  </si>
  <si>
    <t>Grand Total</t>
  </si>
  <si>
    <t>ETU003268</t>
  </si>
  <si>
    <t>ModuleCleanupPage</t>
  </si>
  <si>
    <t>Creation de connection</t>
  </si>
  <si>
    <t>AdminPage</t>
  </si>
  <si>
    <t>Importation fichier csv</t>
  </si>
  <si>
    <t>Boutton de reinitialisation</t>
  </si>
  <si>
    <t>Importation image</t>
  </si>
  <si>
    <t>Gestion commande</t>
  </si>
  <si>
    <t>CommandeList</t>
  </si>
  <si>
    <t>Affichage des liste commande</t>
  </si>
  <si>
    <t>FrontOffice</t>
  </si>
  <si>
    <t>Gestion Produits</t>
  </si>
  <si>
    <t>ProduitList</t>
  </si>
  <si>
    <t>Liste des produits + fiches</t>
  </si>
  <si>
    <t>Gestion Achat</t>
  </si>
  <si>
    <t>PanierManage</t>
  </si>
  <si>
    <t>Faire marcher le panier</t>
  </si>
  <si>
    <t>CommandeManage</t>
  </si>
  <si>
    <t>Validation com (pay livraison sans frai)</t>
  </si>
  <si>
    <t>Gestion de donnee</t>
  </si>
  <si>
    <t>(---------)</t>
  </si>
  <si>
    <t>Mise a jours des donnees dans existingApp New -&gt; ext</t>
  </si>
  <si>
    <t>Mise a jours des donnees dans existingApp ext -&gt; new</t>
  </si>
  <si>
    <t>Gestion de commande</t>
  </si>
  <si>
    <t>Etat de commande existante : dans le panier/paiement effecuté/annulé</t>
  </si>
  <si>
    <t>TableauManage</t>
  </si>
  <si>
    <t>Tableau de bord (nb commande &amp; montant par jrs)</t>
  </si>
  <si>
    <t>TotalCommande</t>
  </si>
  <si>
    <t>Total generale</t>
  </si>
  <si>
    <t>Gestion import</t>
  </si>
  <si>
    <t xml:space="preserve">Ny  import 1 ihany ny déclinaison, fa tsisy combinaison </t>
  </si>
  <si>
    <t>Gestion Utilisateur</t>
  </si>
  <si>
    <t>Choix de connection (user)</t>
  </si>
  <si>
    <t>Connection Anonyme</t>
  </si>
  <si>
    <t>Marquer les produits selon leurs dates</t>
  </si>
  <si>
    <t>Recherche Multicritere (nom, categorie,intervalle de prix)</t>
  </si>
  <si>
    <t>B</t>
  </si>
  <si>
    <t>C</t>
  </si>
  <si>
    <t>D</t>
  </si>
  <si>
    <t>Boutton de modification d'etat</t>
  </si>
  <si>
    <t>ETU0032682</t>
  </si>
  <si>
    <t>Gestion Donnee</t>
  </si>
  <si>
    <t>(--------)</t>
  </si>
  <si>
    <t>Verification colonne</t>
  </si>
  <si>
    <t>Verification date</t>
  </si>
  <si>
    <t>Montant positif</t>
  </si>
  <si>
    <t>Gestion Stock</t>
  </si>
  <si>
    <t>StockPages</t>
  </si>
  <si>
    <t>Afficher les quantites en stocks</t>
  </si>
  <si>
    <t>Backoffice/FrontOffice</t>
  </si>
  <si>
    <t>(-----------)</t>
  </si>
  <si>
    <t>Integration/Test</t>
  </si>
  <si>
    <t>Metier/Affichage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</si>
</sst>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6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Liberation Serif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  <font>
      <sz val="10"/>
      <color theme="1"/>
      <name val="Arial"/>
      <family val="2"/>
    </font>
    <font>
      <sz val="11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0" fontId="4" fillId="0" borderId="0" xfId="0" applyFont="1"/>
    <xf numFmtId="0" fontId="7" fillId="0" borderId="0" xfId="0" applyFont="1"/>
    <xf numFmtId="0" fontId="8" fillId="3" borderId="0" xfId="0" applyFont="1" applyFill="1"/>
    <xf numFmtId="10" fontId="8" fillId="3" borderId="0" xfId="0" applyNumberFormat="1" applyFont="1" applyFill="1"/>
    <xf numFmtId="0" fontId="9" fillId="4" borderId="2" xfId="0" applyFont="1" applyFill="1" applyBorder="1"/>
    <xf numFmtId="0" fontId="10" fillId="0" borderId="0" xfId="0" applyFont="1" applyAlignment="1">
      <alignment horizontal="right"/>
    </xf>
    <xf numFmtId="10" fontId="10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0" fontId="10" fillId="0" borderId="0" xfId="0" applyFont="1"/>
    <xf numFmtId="0" fontId="11" fillId="4" borderId="0" xfId="0" applyFont="1" applyFill="1"/>
    <xf numFmtId="0" fontId="11" fillId="0" borderId="0" xfId="0" applyFont="1"/>
    <xf numFmtId="16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/>
    <xf numFmtId="0" fontId="0" fillId="0" borderId="3" xfId="0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1" fillId="0" borderId="1" xfId="0" applyFont="1" applyBorder="1"/>
    <xf numFmtId="0" fontId="14" fillId="0" borderId="0" xfId="0" applyFont="1"/>
    <xf numFmtId="0" fontId="13" fillId="0" borderId="1" xfId="0" applyFont="1" applyBorder="1"/>
    <xf numFmtId="0" fontId="15" fillId="0" borderId="13" xfId="0" applyFont="1" applyBorder="1"/>
    <xf numFmtId="0" fontId="13" fillId="0" borderId="0" xfId="0" applyFont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2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arena" refreshedDate="46158.274117939814" refreshedVersion="8" recordCount="25" xr:uid="{00000000-000A-0000-FFFF-FFFF00000000}">
  <cacheSource type="worksheet">
    <worksheetSource ref="B1:K993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Description tâche" numFmtId="0">
      <sharedItems containsBlank="1"/>
    </cacheField>
    <cacheField name="Type" numFmtId="0">
      <sharedItems containsBlank="1"/>
    </cacheField>
    <cacheField name="Qui" numFmtId="0">
      <sharedItems containsBlank="1" count="6">
        <s v="ETU003268"/>
        <m/>
        <s v="ETU00YYYY" u="1"/>
        <s v="ETU00XXXX" u="1"/>
        <s v="ETU00ZZZZ" u="1"/>
        <s v="ETU00WWWW" u="1"/>
      </sharedItems>
    </cacheField>
    <cacheField name="Estimation" numFmtId="0">
      <sharedItems containsString="0" containsBlank="1" containsNumber="1" containsInteger="1" minValue="5" maxValue="360"/>
    </cacheField>
    <cacheField name="Temps passé" numFmtId="0">
      <sharedItems containsString="0" containsBlank="1" containsNumber="1" containsInteger="1" minValue="0" maxValue="360"/>
    </cacheField>
    <cacheField name="Reste à faire" numFmtId="0">
      <sharedItems containsString="0" containsBlank="1" containsNumber="1" containsInteger="1" minValue="0" maxValue="140"/>
    </cacheField>
    <cacheField name="Avancement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Backoffice"/>
    <s v="Gestion Login"/>
    <s v="Index"/>
    <s v="Creation de connection"/>
    <s v="Affichage"/>
    <x v="0"/>
    <n v="10"/>
    <n v="10"/>
    <n v="0"/>
    <n v="1"/>
  </r>
  <r>
    <s v="Backoffice"/>
    <s v="Gestion de donnee"/>
    <s v="ModuleCleanupPage"/>
    <s v="Boutton de reinitialisation"/>
    <s v="Metier"/>
    <x v="0"/>
    <n v="60"/>
    <n v="60"/>
    <n v="0"/>
    <n v="1"/>
  </r>
  <r>
    <s v="Backoffice"/>
    <s v="Gestion de donnee"/>
    <s v="AdminPage"/>
    <s v="Importation fichier csv"/>
    <s v="Metier"/>
    <x v="0"/>
    <n v="360"/>
    <n v="360"/>
    <n v="0"/>
    <n v="1"/>
  </r>
  <r>
    <s v="Backoffice"/>
    <s v="Gestion de donnee"/>
    <s v="AdminPage"/>
    <s v="Importation image"/>
    <s v="Metier"/>
    <x v="0"/>
    <n v="30"/>
    <n v="30"/>
    <n v="0"/>
    <n v="1"/>
  </r>
  <r>
    <s v="Backoffice"/>
    <s v="Gestion commande"/>
    <s v="CommandeList"/>
    <s v="Affichage des liste commande"/>
    <s v="Affichage"/>
    <x v="0"/>
    <n v="180"/>
    <n v="120"/>
    <n v="60"/>
    <n v="0.66666666666666663"/>
  </r>
  <r>
    <s v="Backoffice"/>
    <s v="Gestion commande"/>
    <s v="CommandeList"/>
    <s v="Boutton de modification d'etat"/>
    <s v="Metier"/>
    <x v="0"/>
    <n v="30"/>
    <n v="30"/>
    <n v="0"/>
    <n v="1"/>
  </r>
  <r>
    <s v="FrontOffice"/>
    <s v="Gestion Produits"/>
    <s v="ProduitList"/>
    <s v="Liste des produits + fiches"/>
    <s v="Affichage"/>
    <x v="0"/>
    <n v="180"/>
    <n v="180"/>
    <n v="0"/>
    <n v="1"/>
  </r>
  <r>
    <s v="FrontOffice"/>
    <s v="Gestion Achat"/>
    <s v="PanierManage"/>
    <s v="Faire marcher le panier"/>
    <s v="Metier"/>
    <x v="0"/>
    <n v="30"/>
    <n v="30"/>
    <n v="0"/>
    <n v="1"/>
  </r>
  <r>
    <s v="FrontOffice"/>
    <s v="Gestion commande"/>
    <s v="CommandeManage"/>
    <s v="Validation com (pay livraison sans frai)"/>
    <s v="Metier"/>
    <x v="0"/>
    <n v="70"/>
    <n v="70"/>
    <n v="0"/>
    <n v="1"/>
  </r>
  <r>
    <s v="Backoffice"/>
    <s v="Gestion de donnee"/>
    <s v="(---------)"/>
    <s v="Mise a jours des donnees dans existingApp New -&gt; ext"/>
    <s v="Metier"/>
    <x v="0"/>
    <n v="10"/>
    <n v="10"/>
    <n v="0"/>
    <n v="1"/>
  </r>
  <r>
    <s v="Backoffice"/>
    <s v="Gestion de donnee"/>
    <s v="(---------)"/>
    <s v="Mise a jours des donnees dans existingApp ext -&gt; new"/>
    <s v="Metier"/>
    <x v="0"/>
    <n v="10"/>
    <n v="10"/>
    <n v="0"/>
    <n v="1"/>
  </r>
  <r>
    <s v="Backoffice"/>
    <s v="Gestion de commande"/>
    <s v="(---------)"/>
    <s v="Etat de commande existante : dans le panier/paiement effecuté/annulé"/>
    <s v="Metier"/>
    <x v="0"/>
    <n v="60"/>
    <n v="0"/>
    <n v="60"/>
    <n v="0"/>
  </r>
  <r>
    <s v="Backoffice"/>
    <s v="Gestion de commande"/>
    <s v="TableauManage"/>
    <s v="Tableau de bord (nb commande &amp; montant par jrs)"/>
    <s v="Affichage"/>
    <x v="0"/>
    <n v="90"/>
    <n v="0"/>
    <n v="90"/>
    <n v="0"/>
  </r>
  <r>
    <s v="Backoffice"/>
    <s v="Gestion de commande"/>
    <s v="TotalCommande"/>
    <s v="Total generale"/>
    <s v="Affichage"/>
    <x v="0"/>
    <n v="40"/>
    <n v="0"/>
    <n v="40"/>
    <n v="0"/>
  </r>
  <r>
    <s v="Backoffice"/>
    <s v="Gestion import"/>
    <s v="(---------)"/>
    <s v="Ny  import 1 ihany ny déclinaison, fa tsisy combinaison "/>
    <s v="Base"/>
    <x v="0"/>
    <n v="120"/>
    <n v="0"/>
    <n v="120"/>
    <n v="0"/>
  </r>
  <r>
    <s v="FrontOffice"/>
    <s v="Gestion Utilisateur"/>
    <s v="Index"/>
    <s v="Choix de connection (user)"/>
    <s v="Metier"/>
    <x v="0"/>
    <n v="60"/>
    <n v="60"/>
    <n v="0"/>
    <n v="1"/>
  </r>
  <r>
    <s v="FrontOffice"/>
    <s v="Gestion Utilisateur"/>
    <s v="Index"/>
    <s v="Connection Anonyme"/>
    <s v="Metier"/>
    <x v="0"/>
    <n v="30"/>
    <n v="30"/>
    <n v="0"/>
    <n v="1"/>
  </r>
  <r>
    <s v="FrontOffice"/>
    <s v="Gestion Produits"/>
    <s v="ProduitList"/>
    <s v="Marquer les produits selon leurs dates"/>
    <s v="Metier"/>
    <x v="0"/>
    <n v="30"/>
    <n v="30"/>
    <n v="0"/>
    <n v="1"/>
  </r>
  <r>
    <s v="FrontOffice"/>
    <s v="Gestion Produits"/>
    <s v="ProduitList"/>
    <s v="Recherche Multicritere (nom, categorie,intervalle de prix)"/>
    <s v="Metier"/>
    <x v="0"/>
    <n v="140"/>
    <n v="0"/>
    <n v="140"/>
    <n v="0"/>
  </r>
  <r>
    <s v="Backoffice"/>
    <s v="Gestion Donnee"/>
    <s v="(--------)"/>
    <s v="Verification colonne"/>
    <s v="Metier"/>
    <x v="0"/>
    <n v="10"/>
    <n v="0"/>
    <n v="10"/>
    <n v="0"/>
  </r>
  <r>
    <s v="Backoffice"/>
    <s v="Gestion Donnee"/>
    <s v="(--------)"/>
    <s v="Verification date"/>
    <s v="Metier"/>
    <x v="0"/>
    <n v="5"/>
    <n v="0"/>
    <n v="5"/>
    <n v="0"/>
  </r>
  <r>
    <s v="Backoffice"/>
    <s v="Gestion Donnee"/>
    <s v="(--------)"/>
    <s v="Montant positif"/>
    <s v="Metier"/>
    <x v="0"/>
    <n v="5"/>
    <n v="0"/>
    <n v="5"/>
    <n v="0"/>
  </r>
  <r>
    <s v="FrontOffice"/>
    <s v="Gestion Stock"/>
    <s v="StockPages"/>
    <s v="Afficher les quantites en stocks"/>
    <s v="Affichage"/>
    <x v="0"/>
    <n v="40"/>
    <n v="0"/>
    <n v="40"/>
    <n v="0"/>
  </r>
  <r>
    <s v="Backoffice/FrontOffice"/>
    <s v="(---------)"/>
    <s v="(-----------)"/>
    <s v="Integration/Test"/>
    <s v="Metier/Affichage"/>
    <x v="0"/>
    <n v="60"/>
    <n v="0"/>
    <n v="60"/>
    <n v="0"/>
  </r>
  <r>
    <m/>
    <m/>
    <m/>
    <m/>
    <m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4" applyNumberFormats="0" applyBorderFormats="0" applyFontFormats="0" applyPatternFormats="0" applyAlignmentFormats="0" applyWidthHeightFormats="0" dataCaption="" updatedVersion="8" compact="0" compactData="0">
  <location ref="A1:D5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Description tâche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7">
        <item n="ETU003268" m="1" x="5"/>
        <item n="ETU0032682" x="0"/>
        <item m="1" x="3"/>
        <item m="1" x="2"/>
        <item m="1" x="4"/>
        <item x="1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3">
    <i>
      <x v="1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>
      <selection activeCell="C6" sqref="C6"/>
    </sheetView>
  </sheetViews>
  <sheetFormatPr defaultColWidth="12.6328125" defaultRowHeight="15.75" customHeight="1"/>
  <sheetData>
    <row r="1" spans="1:2" ht="15.75" customHeight="1">
      <c r="A1" s="1" t="s">
        <v>34</v>
      </c>
      <c r="B1" s="1" t="s">
        <v>1</v>
      </c>
    </row>
    <row r="2" spans="1:2" ht="15.75" customHeight="1">
      <c r="A2" s="30" t="s">
        <v>0</v>
      </c>
      <c r="B2" s="36" t="s">
        <v>70</v>
      </c>
    </row>
    <row r="3" spans="1:2" ht="15.75" customHeight="1">
      <c r="A3" s="30" t="s">
        <v>2</v>
      </c>
      <c r="B3" s="36" t="s">
        <v>71</v>
      </c>
    </row>
    <row r="4" spans="1:2" ht="15.75" customHeight="1">
      <c r="A4" s="30" t="s">
        <v>3</v>
      </c>
      <c r="B4" s="3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5"/>
  <sheetViews>
    <sheetView tabSelected="1" topLeftCell="A10" workbookViewId="0">
      <selection activeCell="G14" sqref="G14"/>
    </sheetView>
  </sheetViews>
  <sheetFormatPr defaultColWidth="12.6328125" defaultRowHeight="15.75" customHeight="1"/>
  <cols>
    <col min="1" max="1" width="5.90625" customWidth="1"/>
    <col min="2" max="2" width="21.08984375" customWidth="1"/>
    <col min="3" max="3" width="18" customWidth="1"/>
    <col min="4" max="4" width="19.90625" customWidth="1"/>
    <col min="5" max="5" width="20.7265625" customWidth="1"/>
  </cols>
  <sheetData>
    <row r="1" spans="1:11" ht="14">
      <c r="A1" s="2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</row>
    <row r="2" spans="1:11" ht="15.75" customHeight="1">
      <c r="A2" s="5">
        <v>1</v>
      </c>
      <c r="B2" s="5" t="s">
        <v>15</v>
      </c>
      <c r="C2" s="6" t="s">
        <v>16</v>
      </c>
      <c r="D2" s="6" t="s">
        <v>17</v>
      </c>
      <c r="E2" s="7" t="s">
        <v>36</v>
      </c>
      <c r="F2" s="7" t="s">
        <v>18</v>
      </c>
      <c r="G2" s="32" t="s">
        <v>34</v>
      </c>
      <c r="H2" s="6">
        <v>10</v>
      </c>
      <c r="I2" s="8">
        <v>10</v>
      </c>
      <c r="J2" s="8">
        <f t="shared" ref="J2:J6" si="0">H2-I2</f>
        <v>0</v>
      </c>
      <c r="K2" s="9">
        <f t="shared" ref="K2:K6" si="1">(I2/(I2+J2))</f>
        <v>1</v>
      </c>
    </row>
    <row r="3" spans="1:11" ht="15.75" customHeight="1">
      <c r="A3" s="5">
        <v>2</v>
      </c>
      <c r="B3" s="5" t="s">
        <v>15</v>
      </c>
      <c r="C3" s="7" t="s">
        <v>53</v>
      </c>
      <c r="D3" s="6" t="s">
        <v>35</v>
      </c>
      <c r="E3" s="7" t="s">
        <v>39</v>
      </c>
      <c r="F3" s="7" t="s">
        <v>19</v>
      </c>
      <c r="G3" s="32" t="s">
        <v>34</v>
      </c>
      <c r="H3" s="6">
        <v>60</v>
      </c>
      <c r="I3" s="8">
        <v>60</v>
      </c>
      <c r="J3" s="8">
        <f t="shared" si="0"/>
        <v>0</v>
      </c>
      <c r="K3" s="9">
        <f t="shared" si="1"/>
        <v>1</v>
      </c>
    </row>
    <row r="4" spans="1:11" ht="15.75" customHeight="1">
      <c r="A4" s="5">
        <v>3</v>
      </c>
      <c r="B4" s="5" t="s">
        <v>15</v>
      </c>
      <c r="C4" s="7" t="s">
        <v>53</v>
      </c>
      <c r="D4" s="6" t="s">
        <v>37</v>
      </c>
      <c r="E4" s="7" t="s">
        <v>38</v>
      </c>
      <c r="F4" s="7" t="s">
        <v>19</v>
      </c>
      <c r="G4" s="32" t="s">
        <v>34</v>
      </c>
      <c r="H4" s="6">
        <v>360</v>
      </c>
      <c r="I4" s="8">
        <v>360</v>
      </c>
      <c r="J4" s="8">
        <f t="shared" si="0"/>
        <v>0</v>
      </c>
      <c r="K4" s="9">
        <f t="shared" si="1"/>
        <v>1</v>
      </c>
    </row>
    <row r="5" spans="1:11" ht="15.75" customHeight="1">
      <c r="A5" s="5">
        <v>4</v>
      </c>
      <c r="B5" s="5" t="s">
        <v>15</v>
      </c>
      <c r="C5" s="7" t="s">
        <v>53</v>
      </c>
      <c r="D5" s="6" t="s">
        <v>37</v>
      </c>
      <c r="E5" s="7" t="s">
        <v>40</v>
      </c>
      <c r="F5" s="7" t="s">
        <v>19</v>
      </c>
      <c r="G5" s="32" t="s">
        <v>34</v>
      </c>
      <c r="H5" s="6">
        <v>30</v>
      </c>
      <c r="I5" s="8">
        <v>30</v>
      </c>
      <c r="J5" s="8">
        <f t="shared" si="0"/>
        <v>0</v>
      </c>
      <c r="K5" s="9">
        <f t="shared" si="1"/>
        <v>1</v>
      </c>
    </row>
    <row r="6" spans="1:11" ht="15.75" customHeight="1">
      <c r="A6" s="5">
        <v>5</v>
      </c>
      <c r="B6" s="5" t="s">
        <v>15</v>
      </c>
      <c r="C6" s="7" t="s">
        <v>41</v>
      </c>
      <c r="D6" s="32" t="s">
        <v>42</v>
      </c>
      <c r="E6" s="7" t="s">
        <v>43</v>
      </c>
      <c r="F6" s="7" t="s">
        <v>18</v>
      </c>
      <c r="G6" s="32" t="s">
        <v>34</v>
      </c>
      <c r="H6" s="6">
        <v>180</v>
      </c>
      <c r="I6" s="8">
        <v>120</v>
      </c>
      <c r="J6" s="8">
        <f t="shared" si="0"/>
        <v>60</v>
      </c>
      <c r="K6" s="9">
        <f t="shared" si="1"/>
        <v>0.66666666666666663</v>
      </c>
    </row>
    <row r="7" spans="1:11" ht="15.75" customHeight="1">
      <c r="A7" s="5">
        <v>6</v>
      </c>
      <c r="B7" s="5" t="s">
        <v>15</v>
      </c>
      <c r="C7" s="7" t="s">
        <v>41</v>
      </c>
      <c r="D7" s="32" t="s">
        <v>42</v>
      </c>
      <c r="E7" s="7" t="s">
        <v>73</v>
      </c>
      <c r="F7" s="7" t="s">
        <v>19</v>
      </c>
      <c r="G7" s="32" t="s">
        <v>34</v>
      </c>
      <c r="H7" s="6">
        <v>30</v>
      </c>
      <c r="I7" s="8">
        <v>30</v>
      </c>
      <c r="J7" s="8">
        <f t="shared" ref="J7" si="2">H7-I7</f>
        <v>0</v>
      </c>
      <c r="K7" s="9">
        <f t="shared" ref="K7" si="3">(I7/(I7+J7))</f>
        <v>1</v>
      </c>
    </row>
    <row r="8" spans="1:11" ht="15.75" customHeight="1">
      <c r="A8" s="5">
        <v>7</v>
      </c>
      <c r="B8" s="33" t="s">
        <v>44</v>
      </c>
      <c r="C8" s="7" t="s">
        <v>45</v>
      </c>
      <c r="D8" s="34" t="s">
        <v>46</v>
      </c>
      <c r="E8" s="7" t="s">
        <v>47</v>
      </c>
      <c r="F8" s="7" t="s">
        <v>18</v>
      </c>
      <c r="G8" s="32" t="s">
        <v>34</v>
      </c>
      <c r="H8" s="6">
        <v>180</v>
      </c>
      <c r="I8" s="8">
        <v>180</v>
      </c>
      <c r="J8" s="8">
        <f t="shared" ref="J8:J20" si="4">H8-I8</f>
        <v>0</v>
      </c>
      <c r="K8" s="9">
        <f>(I8/(I8+J8))</f>
        <v>1</v>
      </c>
    </row>
    <row r="9" spans="1:11" ht="15.75" customHeight="1">
      <c r="A9" s="5">
        <v>8</v>
      </c>
      <c r="B9" s="33" t="s">
        <v>44</v>
      </c>
      <c r="C9" s="7" t="s">
        <v>48</v>
      </c>
      <c r="D9" s="34" t="s">
        <v>49</v>
      </c>
      <c r="E9" s="7" t="s">
        <v>50</v>
      </c>
      <c r="F9" s="7" t="s">
        <v>19</v>
      </c>
      <c r="G9" s="32" t="s">
        <v>34</v>
      </c>
      <c r="H9" s="6">
        <v>30</v>
      </c>
      <c r="I9" s="8">
        <v>30</v>
      </c>
      <c r="J9" s="8">
        <f t="shared" si="4"/>
        <v>0</v>
      </c>
      <c r="K9" s="9">
        <f>(I9/(I9+J9))</f>
        <v>1</v>
      </c>
    </row>
    <row r="10" spans="1:11" ht="15.75" customHeight="1">
      <c r="A10" s="5">
        <v>9</v>
      </c>
      <c r="B10" s="33" t="s">
        <v>44</v>
      </c>
      <c r="C10" s="7" t="s">
        <v>41</v>
      </c>
      <c r="D10" s="34" t="s">
        <v>51</v>
      </c>
      <c r="E10" s="7" t="s">
        <v>52</v>
      </c>
      <c r="F10" s="7" t="s">
        <v>19</v>
      </c>
      <c r="G10" s="32" t="s">
        <v>34</v>
      </c>
      <c r="H10" s="6">
        <v>70</v>
      </c>
      <c r="I10" s="8">
        <v>70</v>
      </c>
      <c r="J10" s="8">
        <f t="shared" si="4"/>
        <v>0</v>
      </c>
      <c r="K10" s="9">
        <f>(I10/(I10+J10))</f>
        <v>1</v>
      </c>
    </row>
    <row r="11" spans="1:11" ht="15.75" customHeight="1">
      <c r="A11" s="5">
        <v>10</v>
      </c>
      <c r="B11" s="33" t="s">
        <v>15</v>
      </c>
      <c r="C11" s="7" t="s">
        <v>53</v>
      </c>
      <c r="D11" s="34" t="s">
        <v>54</v>
      </c>
      <c r="E11" s="7" t="s">
        <v>55</v>
      </c>
      <c r="F11" s="7" t="s">
        <v>19</v>
      </c>
      <c r="G11" s="32" t="s">
        <v>34</v>
      </c>
      <c r="H11" s="6">
        <v>10</v>
      </c>
      <c r="I11" s="6">
        <v>10</v>
      </c>
      <c r="J11" s="8">
        <f t="shared" si="4"/>
        <v>0</v>
      </c>
      <c r="K11" s="9">
        <f>(I11/(I11+J11))</f>
        <v>1</v>
      </c>
    </row>
    <row r="12" spans="1:11" ht="15.75" customHeight="1">
      <c r="A12" s="35">
        <v>11</v>
      </c>
      <c r="B12" s="33" t="s">
        <v>15</v>
      </c>
      <c r="C12" s="7" t="s">
        <v>53</v>
      </c>
      <c r="D12" s="34" t="s">
        <v>54</v>
      </c>
      <c r="E12" s="7" t="s">
        <v>56</v>
      </c>
      <c r="F12" s="7" t="s">
        <v>19</v>
      </c>
      <c r="G12" s="32" t="s">
        <v>34</v>
      </c>
      <c r="H12" s="6">
        <v>10</v>
      </c>
      <c r="I12" s="6">
        <v>10</v>
      </c>
      <c r="J12" s="8">
        <f t="shared" si="4"/>
        <v>0</v>
      </c>
      <c r="K12" s="9">
        <f t="shared" ref="K12" si="5">(I12/(I12+J12))</f>
        <v>1</v>
      </c>
    </row>
    <row r="13" spans="1:11" ht="15.75" customHeight="1">
      <c r="A13" s="5">
        <v>12</v>
      </c>
      <c r="B13" s="33" t="s">
        <v>15</v>
      </c>
      <c r="C13" s="7" t="s">
        <v>57</v>
      </c>
      <c r="D13" s="34" t="s">
        <v>54</v>
      </c>
      <c r="E13" s="7" t="s">
        <v>58</v>
      </c>
      <c r="F13" s="7" t="s">
        <v>19</v>
      </c>
      <c r="G13" s="32" t="s">
        <v>34</v>
      </c>
      <c r="H13" s="6">
        <v>30</v>
      </c>
      <c r="I13" s="8">
        <v>30</v>
      </c>
      <c r="J13" s="8">
        <f t="shared" si="4"/>
        <v>0</v>
      </c>
      <c r="K13" s="9">
        <f t="shared" ref="K13" si="6">(I13/(I13+J13))</f>
        <v>1</v>
      </c>
    </row>
    <row r="14" spans="1:11" ht="15.75" customHeight="1">
      <c r="A14" s="5">
        <v>13</v>
      </c>
      <c r="B14" s="33" t="s">
        <v>15</v>
      </c>
      <c r="C14" s="7" t="s">
        <v>57</v>
      </c>
      <c r="D14" s="34" t="s">
        <v>59</v>
      </c>
      <c r="E14" s="7" t="s">
        <v>60</v>
      </c>
      <c r="F14" s="7" t="s">
        <v>18</v>
      </c>
      <c r="G14" s="32" t="s">
        <v>34</v>
      </c>
      <c r="H14" s="6">
        <v>90</v>
      </c>
      <c r="I14" s="8">
        <f>detail_avancement!B13</f>
        <v>0</v>
      </c>
      <c r="J14" s="8">
        <f t="shared" si="4"/>
        <v>90</v>
      </c>
      <c r="K14" s="9">
        <f t="shared" ref="K14" si="7">(I14/(I14+J14))</f>
        <v>0</v>
      </c>
    </row>
    <row r="15" spans="1:11" ht="15.75" customHeight="1">
      <c r="A15" s="5">
        <v>14</v>
      </c>
      <c r="B15" s="33" t="s">
        <v>15</v>
      </c>
      <c r="C15" s="7" t="s">
        <v>57</v>
      </c>
      <c r="D15" s="34" t="s">
        <v>61</v>
      </c>
      <c r="E15" s="7" t="s">
        <v>62</v>
      </c>
      <c r="F15" s="7" t="s">
        <v>18</v>
      </c>
      <c r="G15" s="32" t="s">
        <v>34</v>
      </c>
      <c r="H15" s="6">
        <v>40</v>
      </c>
      <c r="I15" s="8">
        <f>detail_avancement!B14</f>
        <v>0</v>
      </c>
      <c r="J15" s="8">
        <f t="shared" si="4"/>
        <v>40</v>
      </c>
      <c r="K15" s="9">
        <f t="shared" ref="K15" si="8">(I15/(I15+J15))</f>
        <v>0</v>
      </c>
    </row>
    <row r="16" spans="1:11" ht="15.75" customHeight="1">
      <c r="A16" s="10">
        <v>15</v>
      </c>
      <c r="B16" s="33" t="s">
        <v>15</v>
      </c>
      <c r="C16" s="7" t="s">
        <v>63</v>
      </c>
      <c r="D16" s="34" t="s">
        <v>54</v>
      </c>
      <c r="E16" s="34" t="s">
        <v>64</v>
      </c>
      <c r="F16" s="7" t="s">
        <v>20</v>
      </c>
      <c r="G16" s="32" t="s">
        <v>34</v>
      </c>
      <c r="H16" s="6">
        <v>120</v>
      </c>
      <c r="I16" s="8">
        <f>detail_avancement!B15</f>
        <v>0</v>
      </c>
      <c r="J16" s="8">
        <f t="shared" si="4"/>
        <v>120</v>
      </c>
      <c r="K16" s="9">
        <f t="shared" ref="K16" si="9">(I16/(I16+J16))</f>
        <v>0</v>
      </c>
    </row>
    <row r="17" spans="1:11" ht="15.75" customHeight="1">
      <c r="A17" s="10">
        <v>16</v>
      </c>
      <c r="B17" s="33" t="s">
        <v>44</v>
      </c>
      <c r="C17" s="7" t="s">
        <v>65</v>
      </c>
      <c r="D17" s="34" t="s">
        <v>17</v>
      </c>
      <c r="E17" s="7" t="s">
        <v>66</v>
      </c>
      <c r="F17" s="7" t="s">
        <v>19</v>
      </c>
      <c r="G17" s="32" t="s">
        <v>34</v>
      </c>
      <c r="H17" s="6">
        <v>60</v>
      </c>
      <c r="I17" s="8">
        <v>60</v>
      </c>
      <c r="J17" s="8">
        <f t="shared" si="4"/>
        <v>0</v>
      </c>
      <c r="K17" s="9">
        <f t="shared" ref="K17:K25" si="10">(I17/(I17+J17))</f>
        <v>1</v>
      </c>
    </row>
    <row r="18" spans="1:11" ht="15.75" customHeight="1">
      <c r="A18" s="10">
        <v>17</v>
      </c>
      <c r="B18" s="33" t="s">
        <v>44</v>
      </c>
      <c r="C18" s="7" t="s">
        <v>65</v>
      </c>
      <c r="D18" s="34" t="s">
        <v>17</v>
      </c>
      <c r="E18" s="7" t="s">
        <v>67</v>
      </c>
      <c r="F18" s="7" t="s">
        <v>19</v>
      </c>
      <c r="G18" s="32" t="s">
        <v>34</v>
      </c>
      <c r="H18" s="6">
        <v>30</v>
      </c>
      <c r="I18" s="8">
        <v>30</v>
      </c>
      <c r="J18" s="8">
        <f t="shared" si="4"/>
        <v>0</v>
      </c>
      <c r="K18" s="9">
        <f t="shared" si="10"/>
        <v>1</v>
      </c>
    </row>
    <row r="19" spans="1:11" ht="15.75" customHeight="1">
      <c r="A19" s="10">
        <v>18</v>
      </c>
      <c r="B19" s="33" t="s">
        <v>44</v>
      </c>
      <c r="C19" s="7" t="s">
        <v>45</v>
      </c>
      <c r="D19" s="34" t="s">
        <v>46</v>
      </c>
      <c r="E19" s="7" t="s">
        <v>68</v>
      </c>
      <c r="F19" s="7" t="s">
        <v>19</v>
      </c>
      <c r="G19" s="32" t="s">
        <v>34</v>
      </c>
      <c r="H19" s="6">
        <v>30</v>
      </c>
      <c r="I19" s="8">
        <v>30</v>
      </c>
      <c r="J19" s="8">
        <f t="shared" si="4"/>
        <v>0</v>
      </c>
      <c r="K19" s="9">
        <f t="shared" si="10"/>
        <v>1</v>
      </c>
    </row>
    <row r="20" spans="1:11" ht="14">
      <c r="A20" s="10">
        <v>19</v>
      </c>
      <c r="B20" s="33" t="s">
        <v>44</v>
      </c>
      <c r="C20" s="7" t="s">
        <v>45</v>
      </c>
      <c r="D20" s="34" t="s">
        <v>46</v>
      </c>
      <c r="E20" s="7" t="s">
        <v>69</v>
      </c>
      <c r="F20" s="7" t="s">
        <v>19</v>
      </c>
      <c r="G20" s="32" t="s">
        <v>34</v>
      </c>
      <c r="H20" s="6">
        <v>140</v>
      </c>
      <c r="I20" s="8">
        <v>140</v>
      </c>
      <c r="J20" s="8">
        <f t="shared" si="4"/>
        <v>0</v>
      </c>
      <c r="K20" s="9">
        <f t="shared" si="10"/>
        <v>1</v>
      </c>
    </row>
    <row r="21" spans="1:11" ht="15.75" customHeight="1">
      <c r="A21" s="10">
        <v>20</v>
      </c>
      <c r="B21" s="33" t="s">
        <v>15</v>
      </c>
      <c r="C21" s="7" t="s">
        <v>75</v>
      </c>
      <c r="D21" s="34" t="s">
        <v>76</v>
      </c>
      <c r="E21" s="7" t="s">
        <v>77</v>
      </c>
      <c r="F21" s="7" t="s">
        <v>19</v>
      </c>
      <c r="G21" s="32" t="s">
        <v>34</v>
      </c>
      <c r="H21" s="6">
        <v>10</v>
      </c>
      <c r="I21" s="8">
        <v>10</v>
      </c>
      <c r="J21" s="8">
        <f t="shared" ref="J21:J24" si="11">H21-I21</f>
        <v>0</v>
      </c>
      <c r="K21" s="9">
        <f t="shared" si="10"/>
        <v>1</v>
      </c>
    </row>
    <row r="22" spans="1:11" ht="15.75" customHeight="1">
      <c r="A22" s="10">
        <v>21</v>
      </c>
      <c r="B22" s="33" t="s">
        <v>15</v>
      </c>
      <c r="C22" s="7" t="s">
        <v>75</v>
      </c>
      <c r="D22" s="34" t="s">
        <v>76</v>
      </c>
      <c r="E22" s="7" t="s">
        <v>78</v>
      </c>
      <c r="F22" s="7" t="s">
        <v>19</v>
      </c>
      <c r="G22" s="32" t="s">
        <v>34</v>
      </c>
      <c r="H22" s="6">
        <v>5</v>
      </c>
      <c r="I22" s="8">
        <v>5</v>
      </c>
      <c r="J22" s="8">
        <f t="shared" si="11"/>
        <v>0</v>
      </c>
      <c r="K22" s="9">
        <f t="shared" si="10"/>
        <v>1</v>
      </c>
    </row>
    <row r="23" spans="1:11" ht="15.75" customHeight="1">
      <c r="A23" s="10">
        <v>22</v>
      </c>
      <c r="B23" s="33" t="s">
        <v>15</v>
      </c>
      <c r="C23" s="7" t="s">
        <v>75</v>
      </c>
      <c r="D23" s="34" t="s">
        <v>76</v>
      </c>
      <c r="E23" s="7" t="s">
        <v>79</v>
      </c>
      <c r="F23" s="7" t="s">
        <v>19</v>
      </c>
      <c r="G23" s="32" t="s">
        <v>34</v>
      </c>
      <c r="H23" s="6">
        <v>5</v>
      </c>
      <c r="I23" s="8">
        <v>5</v>
      </c>
      <c r="J23" s="8">
        <f t="shared" si="11"/>
        <v>0</v>
      </c>
      <c r="K23" s="9">
        <f t="shared" si="10"/>
        <v>1</v>
      </c>
    </row>
    <row r="24" spans="1:11" ht="15.75" customHeight="1">
      <c r="A24" s="10">
        <v>23</v>
      </c>
      <c r="B24" s="33" t="s">
        <v>44</v>
      </c>
      <c r="C24" s="7" t="s">
        <v>80</v>
      </c>
      <c r="D24" s="34" t="s">
        <v>81</v>
      </c>
      <c r="E24" s="7" t="s">
        <v>82</v>
      </c>
      <c r="F24" s="7" t="s">
        <v>18</v>
      </c>
      <c r="G24" s="32" t="s">
        <v>34</v>
      </c>
      <c r="H24" s="6">
        <v>40</v>
      </c>
      <c r="I24" s="8">
        <v>0</v>
      </c>
      <c r="J24" s="8">
        <f t="shared" si="11"/>
        <v>40</v>
      </c>
      <c r="K24" s="9">
        <f t="shared" si="10"/>
        <v>0</v>
      </c>
    </row>
    <row r="25" spans="1:11" ht="15.75" customHeight="1">
      <c r="A25" s="10">
        <v>24</v>
      </c>
      <c r="B25" s="33" t="s">
        <v>83</v>
      </c>
      <c r="C25" s="7" t="s">
        <v>54</v>
      </c>
      <c r="D25" s="34" t="s">
        <v>84</v>
      </c>
      <c r="E25" s="7" t="s">
        <v>85</v>
      </c>
      <c r="F25" s="7" t="s">
        <v>86</v>
      </c>
      <c r="G25" s="32" t="s">
        <v>34</v>
      </c>
      <c r="H25" s="6">
        <v>60</v>
      </c>
      <c r="I25" s="8">
        <v>0</v>
      </c>
      <c r="J25" s="8">
        <f t="shared" ref="J25" si="12">H25-I25</f>
        <v>60</v>
      </c>
      <c r="K25" s="9">
        <f t="shared" si="10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showGridLines="0" workbookViewId="0">
      <selection activeCell="E19" sqref="E19"/>
    </sheetView>
  </sheetViews>
  <sheetFormatPr defaultColWidth="12.6328125" defaultRowHeight="15.75" customHeight="1"/>
  <sheetData>
    <row r="1" spans="1:4" ht="15.75" customHeight="1">
      <c r="A1" s="24"/>
      <c r="B1" s="25" t="s">
        <v>28</v>
      </c>
      <c r="C1" s="26"/>
      <c r="D1" s="27"/>
    </row>
    <row r="2" spans="1:4" ht="15.75" customHeight="1">
      <c r="A2" s="25" t="s">
        <v>10</v>
      </c>
      <c r="B2" s="24" t="s">
        <v>29</v>
      </c>
      <c r="C2" s="28" t="s">
        <v>30</v>
      </c>
      <c r="D2" s="29" t="s">
        <v>31</v>
      </c>
    </row>
    <row r="3" spans="1:4" ht="15.75" customHeight="1">
      <c r="A3" s="24" t="s">
        <v>74</v>
      </c>
      <c r="B3" s="37">
        <v>1660</v>
      </c>
      <c r="C3" s="38">
        <v>1030</v>
      </c>
      <c r="D3" s="39">
        <v>630</v>
      </c>
    </row>
    <row r="4" spans="1:4" ht="15.75" customHeight="1">
      <c r="A4" s="30" t="s">
        <v>32</v>
      </c>
      <c r="B4" s="40"/>
      <c r="C4" s="41"/>
      <c r="D4" s="42"/>
    </row>
    <row r="5" spans="1:4" ht="15.75" customHeight="1">
      <c r="A5" s="31" t="s">
        <v>33</v>
      </c>
      <c r="B5" s="43">
        <v>1660</v>
      </c>
      <c r="C5" s="44">
        <v>1030</v>
      </c>
      <c r="D5" s="45">
        <v>630</v>
      </c>
    </row>
    <row r="12" spans="1:4" ht="13">
      <c r="A12" s="12" t="s">
        <v>14</v>
      </c>
      <c r="B12" s="13">
        <f>avancement!D2</f>
        <v>0.74846625766871167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>
      <selection activeCell="D10" sqref="D10"/>
    </sheetView>
  </sheetViews>
  <sheetFormatPr defaultColWidth="12.6328125" defaultRowHeight="15.75" customHeight="1"/>
  <cols>
    <col min="1" max="1" width="15.7265625" customWidth="1"/>
    <col min="2" max="2" width="17.90625" customWidth="1"/>
    <col min="3" max="3" width="17" customWidth="1"/>
    <col min="4" max="4" width="18.26953125" customWidth="1"/>
    <col min="5" max="5" width="13.7265625" customWidth="1"/>
  </cols>
  <sheetData>
    <row r="1" spans="1:5" ht="15.75" customHeight="1">
      <c r="A1" s="14" t="s">
        <v>21</v>
      </c>
      <c r="B1" s="14" t="s">
        <v>22</v>
      </c>
      <c r="C1" s="14" t="s">
        <v>23</v>
      </c>
      <c r="D1" s="14" t="s">
        <v>24</v>
      </c>
      <c r="E1" s="14" t="s">
        <v>25</v>
      </c>
    </row>
    <row r="2" spans="1:5" ht="15.75" customHeight="1">
      <c r="A2" s="15">
        <f>SUM('liste des taches'!H:H)</f>
        <v>1630</v>
      </c>
      <c r="B2" s="15">
        <f>SUM('liste des taches'!I:I)</f>
        <v>1220</v>
      </c>
      <c r="C2" s="15">
        <f>SUM('liste des taches'!J:J)</f>
        <v>410</v>
      </c>
      <c r="D2" s="16">
        <f>(B2/(B2+C2))</f>
        <v>0.74846625766871167</v>
      </c>
      <c r="E2" s="17">
        <f>((B2+C2)-A2)/A2</f>
        <v>0</v>
      </c>
    </row>
    <row r="3" spans="1:5" ht="15.75" customHeight="1">
      <c r="A3" s="18"/>
      <c r="B3" s="18"/>
      <c r="C3" s="15">
        <f>C2/60</f>
        <v>6.833333333333333</v>
      </c>
      <c r="D3" s="18" t="s">
        <v>26</v>
      </c>
      <c r="E3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"/>
  <sheetViews>
    <sheetView workbookViewId="0">
      <selection activeCell="F7" sqref="F7"/>
    </sheetView>
  </sheetViews>
  <sheetFormatPr defaultColWidth="12.6328125" defaultRowHeight="15.75" customHeight="1"/>
  <sheetData>
    <row r="1" spans="1:5" ht="15.75" customHeight="1">
      <c r="A1" s="19" t="s">
        <v>4</v>
      </c>
      <c r="B1" s="20" t="s">
        <v>27</v>
      </c>
      <c r="C1" s="21">
        <v>46048</v>
      </c>
      <c r="D1" s="21">
        <v>46049</v>
      </c>
      <c r="E1" s="21">
        <v>46050</v>
      </c>
    </row>
    <row r="2" spans="1:5" ht="15.75" customHeight="1">
      <c r="A2" s="22">
        <v>1</v>
      </c>
      <c r="B2" s="15">
        <f t="shared" ref="B2:B10" si="0">SUM(D2:P2)</f>
        <v>0</v>
      </c>
      <c r="C2" s="18"/>
      <c r="D2" s="22"/>
      <c r="E2" s="18"/>
    </row>
    <row r="3" spans="1:5" ht="15.75" customHeight="1">
      <c r="A3" s="22">
        <v>2</v>
      </c>
      <c r="B3" s="15">
        <f t="shared" si="0"/>
        <v>0</v>
      </c>
      <c r="C3" s="18"/>
      <c r="D3" s="18"/>
      <c r="E3" s="18"/>
    </row>
    <row r="4" spans="1:5" ht="15.75" customHeight="1">
      <c r="A4" s="22">
        <v>3</v>
      </c>
      <c r="B4" s="15">
        <f t="shared" si="0"/>
        <v>0</v>
      </c>
      <c r="C4" s="22"/>
      <c r="D4" s="22"/>
      <c r="E4" s="18"/>
    </row>
    <row r="5" spans="1:5" ht="15.75" customHeight="1">
      <c r="A5" s="22">
        <v>4</v>
      </c>
      <c r="B5" s="15">
        <f t="shared" si="0"/>
        <v>0</v>
      </c>
      <c r="C5" s="18"/>
      <c r="D5" s="18"/>
      <c r="E5" s="18"/>
    </row>
    <row r="6" spans="1:5" ht="15.75" customHeight="1">
      <c r="A6" s="22">
        <v>5</v>
      </c>
      <c r="B6" s="15">
        <f t="shared" si="0"/>
        <v>0</v>
      </c>
      <c r="C6" s="18"/>
      <c r="D6" s="23"/>
      <c r="E6" s="18"/>
    </row>
    <row r="7" spans="1:5" ht="15.75" customHeight="1">
      <c r="A7" s="22">
        <v>6</v>
      </c>
      <c r="B7" s="15">
        <f t="shared" si="0"/>
        <v>0</v>
      </c>
      <c r="C7" s="18"/>
      <c r="D7" s="18"/>
      <c r="E7" s="18"/>
    </row>
    <row r="8" spans="1:5" ht="15.75" customHeight="1">
      <c r="A8" s="22">
        <v>7</v>
      </c>
      <c r="B8" s="15">
        <f t="shared" si="0"/>
        <v>0</v>
      </c>
      <c r="C8" s="18"/>
      <c r="D8" s="23"/>
      <c r="E8" s="18"/>
    </row>
    <row r="9" spans="1:5" ht="15.75" customHeight="1">
      <c r="A9" s="11">
        <v>8</v>
      </c>
      <c r="B9" s="15">
        <f t="shared" si="0"/>
        <v>0</v>
      </c>
      <c r="D9" s="11"/>
    </row>
    <row r="10" spans="1:5" ht="15.75" customHeight="1">
      <c r="A10" s="11">
        <v>9</v>
      </c>
      <c r="B10" s="15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Harena Faniriantsoa</cp:lastModifiedBy>
  <dcterms:modified xsi:type="dcterms:W3CDTF">2026-05-16T06:59:53Z</dcterms:modified>
</cp:coreProperties>
</file>