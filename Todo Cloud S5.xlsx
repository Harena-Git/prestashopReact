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29A1AB27-44EA-4C07-9D12-1713FFC891A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3" i="5"/>
  <c r="B2" i="5"/>
  <c r="J31" i="2"/>
  <c r="K31" i="2" s="1"/>
  <c r="J30" i="2"/>
  <c r="K30" i="2" s="1"/>
  <c r="J29" i="2"/>
  <c r="K29" i="2" s="1"/>
  <c r="J28" i="2"/>
  <c r="K28" i="2" s="1"/>
  <c r="J27" i="2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J15" i="2"/>
  <c r="J10" i="2"/>
  <c r="K10" i="2" s="1"/>
  <c r="J9" i="2"/>
  <c r="K9" i="2" s="1"/>
  <c r="J2" i="2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<sst xmlns="http://schemas.openxmlformats.org/spreadsheetml/2006/main" count="216" uniqueCount="97">
  <si>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</si>
  <si>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</si>
  <si>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</si>
  <si>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</si>
  <si>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</si>
  <si>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</si>
  <si>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</si>
  <si>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</si>
  <si>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</si>
  <si>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</si>
  <si>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</si>
  <si>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</si>
  <si>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</si>
  <si>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</si>
  <si>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</si>
  <si>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</si>
  <si>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</si>
  <si>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</si>
  <si>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</si>
  <si>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</si>
  <si>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</si>
  <si>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</si>
  <si>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</si>
  <si>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</si>
  <si>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</si>
  <si>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</si>
  <si>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</si>
  <si>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</si>
  <si>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</si>
  <si>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</si>
  <si>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</si>
  <si>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</si>
  <si>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</si>
  <si>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</si>
  <si>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</si>
  <si>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</si>
  <si>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</si>
  <si>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</si>
  <si>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</si>
  <si>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</si>
  <si>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</si>
  <si>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</si>
  <si>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</si>
  <si>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</si>
  <si>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</si>
  <si>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</si>
  <si>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</si>
  <si>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</si>
  <si>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</si>
  <si>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</si>
  <si>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</si>
  <si>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</si>
  <si>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</si>
  <si>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</si>
  <si>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</si>
  <si>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</si>
  <si>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</si>
  <si>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</si>
  <si>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</si>
  <si>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</si>
  <si>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</si>
  <si>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</si>
  <si>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</si>
  <si>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</si>
  <si>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</si>
  <si>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</si>
  <si>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</si>
  <si>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</si>
  <si>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</si>
  <si>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</si>
  <si>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</si>
  <si>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</si>
  <si>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</si>
  <si>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</si>
  <si>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</si>
  <si>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</si>
  <si>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</si>
  <si>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</si>
  <si>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</si>
  <si>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</si>
  <si>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</si>
  <si>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</si>
  <si>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</si>
  <si>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</si>
  <si>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</si>
  <si>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</si>
  <si>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</si>
  <si>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</si>
  <si>
    <t>Generale</t>
  </si>
  <si>
    <t>(------)</t>
  </si>
  <si>
    <t>Debug generale</t>
  </si>
  <si>
    <t>Gestion metier</t>
  </si>
  <si>
    <t>Ajout de nouveaux ligne de etat</t>
  </si>
  <si>
    <t>DashBoard</t>
  </si>
  <si>
    <t>Ajouter une page statistiques qui permet d’avoir le montant total des ventes , le montant total d’achat, et le bénéfice par catégorie de produit</t>
  </si>
  <si>
    <t>category-stock</t>
  </si>
  <si>
    <t>Creation de tableau de produit (suivi)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</si>
</sst>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7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5" fillId="5" borderId="1" xfId="0" applyFont="1" applyFill="1" applyBorder="1" applyAlignment="1">
      <alignment horizontal="right"/>
    </xf>
    <xf numFmtId="0" fontId="5" fillId="6" borderId="1" xfId="0" applyFont="1" applyFill="1" applyBorder="1" applyAlignment="1">
      <alignment horizontal="right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6" fillId="0" borderId="13" xfId="0" applyFont="1" applyFill="1" applyBorder="1"/>
    <xf numFmtId="0" fontId="13" fillId="0" borderId="13" xfId="0" applyFont="1" applyFill="1" applyBorder="1"/>
    <xf numFmtId="0" fontId="5" fillId="7" borderId="1" xfId="0" applyFont="1" applyFill="1" applyBorder="1" applyAlignment="1">
      <alignment horizontal="right"/>
    </xf>
    <xf numFmtId="0" fontId="16" fillId="0" borderId="0" xfId="0" applyFont="1" applyAlignment="1">
      <alignment horizontal="left"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61.373889814815" refreshedVersion="8" recordCount="28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2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30"/>
    <n v="30"/>
    <n v="0"/>
    <n v="1"/>
  </r>
  <r>
    <s v="Backoffice"/>
    <s v="Gestion de commande"/>
    <s v="TableauManage"/>
    <s v="Tableau de bord (nb commande &amp; montant par jrs)"/>
    <s v="Affichage"/>
    <x v="0"/>
    <n v="90"/>
    <n v="80"/>
    <n v="10"/>
    <n v="0.88888888888888884"/>
  </r>
  <r>
    <s v="Backoffice"/>
    <s v="Gestion de commande"/>
    <s v="TotalCommande"/>
    <s v="Total generale"/>
    <s v="Affichage"/>
    <x v="0"/>
    <n v="10"/>
    <n v="10"/>
    <n v="0"/>
    <n v="1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140"/>
    <n v="0"/>
    <n v="1"/>
  </r>
  <r>
    <s v="Backoffice"/>
    <s v="Gestion Donnee"/>
    <s v="(--------)"/>
    <s v="Verification colonne"/>
    <s v="Metier"/>
    <x v="0"/>
    <n v="10"/>
    <n v="10"/>
    <n v="0"/>
    <n v="1"/>
  </r>
  <r>
    <s v="Backoffice"/>
    <s v="Gestion Donnee"/>
    <s v="(--------)"/>
    <s v="Verification date"/>
    <s v="Metier"/>
    <x v="0"/>
    <n v="5"/>
    <n v="5"/>
    <n v="0"/>
    <n v="1"/>
  </r>
  <r>
    <s v="Backoffice"/>
    <s v="Gestion Donnee"/>
    <s v="(--------)"/>
    <s v="Montant positif"/>
    <s v="Metier"/>
    <x v="0"/>
    <n v="5"/>
    <n v="5"/>
    <n v="0"/>
    <n v="1"/>
  </r>
  <r>
    <s v="FrontOffice"/>
    <s v="Gestion Stock"/>
    <s v="StockPagesAdd"/>
    <s v="Page d'ajout de stock de produit"/>
    <s v="Metier"/>
    <x v="0"/>
    <n v="30"/>
    <n v="30"/>
    <n v="0"/>
    <n v="1"/>
  </r>
  <r>
    <s v="Backoffice"/>
    <s v="Gestion Stock"/>
    <s v="DashBoardStock"/>
    <s v="Rajout d'un tableau sur l’évolution du stock journalier d’un produit"/>
    <s v="Metier"/>
    <x v="0"/>
    <n v="60"/>
    <n v="0"/>
    <n v="60"/>
    <n v="0"/>
  </r>
  <r>
    <s v="FrontOffice"/>
    <s v="Gestion Stock"/>
    <s v="StockPages"/>
    <s v="Afficher les quantites en stocks"/>
    <s v="Affichage"/>
    <x v="0"/>
    <n v="40"/>
    <n v="40"/>
    <n v="0"/>
    <n v="1"/>
  </r>
  <r>
    <s v="FrontOffice"/>
    <s v="Gestion Stock"/>
    <s v="StockPages"/>
    <s v="Etat de Stock pour chaque clients"/>
    <s v="Metier"/>
    <x v="0"/>
    <n v="30"/>
    <n v="30"/>
    <n v="0"/>
    <n v="1"/>
  </r>
  <r>
    <s v="Backoffice"/>
    <s v="Generale"/>
    <s v="(------)"/>
    <s v="Debug generale"/>
    <s v="Metier"/>
    <x v="0"/>
    <n v="120"/>
    <n v="0"/>
    <n v="12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31"/>
  <sheetViews>
    <sheetView tabSelected="1" topLeftCell="A16" workbookViewId="0">
      <selection activeCell="D28" sqref="D28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720</v>
      </c>
      <c r="I4" s="8">
        <v>720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120</v>
      </c>
      <c r="I6" s="8">
        <v>120</v>
      </c>
      <c r="J6" s="8">
        <f t="shared" si="0"/>
        <v>0</v>
      </c>
      <c r="K6" s="9">
        <f t="shared" si="1"/>
        <v>1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80</v>
      </c>
      <c r="I14" s="8">
        <v>80</v>
      </c>
      <c r="J14" s="8">
        <f t="shared" si="4"/>
        <v>0</v>
      </c>
      <c r="K14" s="9">
        <f t="shared" ref="K14" si="7">(I14/(I14+J14))</f>
        <v>1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10</v>
      </c>
      <c r="I15" s="8">
        <v>10</v>
      </c>
      <c r="J15" s="8">
        <f t="shared" si="4"/>
        <v>0</v>
      </c>
      <c r="K15" s="9">
        <f t="shared" ref="K15" si="8">(I15/(I15+J15))</f>
        <v>1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37">
        <v>120</v>
      </c>
      <c r="J16" s="8">
        <f t="shared" si="4"/>
        <v>0</v>
      </c>
      <c r="K16" s="9">
        <f t="shared" ref="K16" si="9">(I16/(I16+J16))</f>
        <v>1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3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20</v>
      </c>
      <c r="I20" s="8">
        <v>20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3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30</v>
      </c>
      <c r="I24" s="8">
        <v>30</v>
      </c>
      <c r="J24" s="8">
        <f t="shared" ref="J24" si="12">H24-I24</f>
        <v>0</v>
      </c>
      <c r="K24" s="9">
        <f t="shared" ref="K24" si="13">(I24/(I24+J24))</f>
        <v>1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30</v>
      </c>
      <c r="I25" s="37">
        <v>30</v>
      </c>
      <c r="J25" s="8">
        <f t="shared" ref="J25" si="14">H25-I25</f>
        <v>0</v>
      </c>
      <c r="K25" s="9">
        <f t="shared" ref="K25" si="15">(I25/(I25+J25))</f>
        <v>1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40</v>
      </c>
      <c r="J26" s="8">
        <f>H26-I26</f>
        <v>0</v>
      </c>
      <c r="K26" s="9">
        <f>(I26/(I26+J26))</f>
        <v>1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30</v>
      </c>
      <c r="I27" s="8">
        <v>30</v>
      </c>
      <c r="J27" s="8">
        <f>H27-I27</f>
        <v>0</v>
      </c>
      <c r="K27" s="9">
        <f>(I27/(I27+J27))</f>
        <v>1</v>
      </c>
    </row>
    <row r="28" spans="1:11" ht="15.75" customHeight="1">
      <c r="A28" s="10">
        <v>27</v>
      </c>
      <c r="B28" s="33" t="s">
        <v>15</v>
      </c>
      <c r="C28" s="7" t="s">
        <v>88</v>
      </c>
      <c r="D28" s="34" t="s">
        <v>89</v>
      </c>
      <c r="E28" s="7" t="s">
        <v>90</v>
      </c>
      <c r="F28" s="7" t="s">
        <v>19</v>
      </c>
      <c r="G28" s="32" t="s">
        <v>34</v>
      </c>
      <c r="H28" s="6">
        <v>60</v>
      </c>
      <c r="I28" s="38">
        <v>60</v>
      </c>
      <c r="J28" s="8">
        <f>H28-I28</f>
        <v>0</v>
      </c>
      <c r="K28" s="9">
        <f>(I28/(I28+J28))</f>
        <v>1</v>
      </c>
    </row>
    <row r="29" spans="1:11" ht="15.75" customHeight="1">
      <c r="A29" s="10">
        <v>28</v>
      </c>
      <c r="B29" s="33" t="s">
        <v>15</v>
      </c>
      <c r="C29" s="48" t="s">
        <v>91</v>
      </c>
      <c r="D29" s="49" t="s">
        <v>89</v>
      </c>
      <c r="E29" s="48" t="s">
        <v>92</v>
      </c>
      <c r="F29" s="7" t="s">
        <v>19</v>
      </c>
      <c r="G29" s="32" t="s">
        <v>34</v>
      </c>
      <c r="H29" s="6">
        <v>10</v>
      </c>
      <c r="I29" s="50">
        <v>10</v>
      </c>
      <c r="J29" s="8">
        <f>H29-I29</f>
        <v>0</v>
      </c>
      <c r="K29" s="9">
        <f>(I29/(I29+J29))</f>
        <v>1</v>
      </c>
    </row>
    <row r="30" spans="1:11" ht="15.75" customHeight="1">
      <c r="A30" s="10">
        <v>29</v>
      </c>
      <c r="B30" s="33" t="s">
        <v>15</v>
      </c>
      <c r="C30" s="48" t="s">
        <v>91</v>
      </c>
      <c r="D30" s="49" t="s">
        <v>93</v>
      </c>
      <c r="E30" s="51" t="s">
        <v>94</v>
      </c>
      <c r="F30" s="7" t="s">
        <v>19</v>
      </c>
      <c r="G30" s="32" t="s">
        <v>34</v>
      </c>
      <c r="H30" s="6">
        <v>40</v>
      </c>
      <c r="I30" s="50">
        <v>40</v>
      </c>
      <c r="J30" s="8">
        <f>H30-I30</f>
        <v>0</v>
      </c>
      <c r="K30" s="9">
        <f>(I30/(I30+J30))</f>
        <v>1</v>
      </c>
    </row>
    <row r="31" spans="1:11" ht="15.75" customHeight="1">
      <c r="A31" s="52">
        <v>30</v>
      </c>
      <c r="B31" s="33" t="s">
        <v>15</v>
      </c>
      <c r="C31" s="48" t="s">
        <v>80</v>
      </c>
      <c r="D31" s="49" t="s">
        <v>95</v>
      </c>
      <c r="E31" s="51" t="s">
        <v>96</v>
      </c>
      <c r="F31" s="7" t="s">
        <v>19</v>
      </c>
      <c r="G31" s="32" t="s">
        <v>34</v>
      </c>
      <c r="H31" s="6">
        <v>20</v>
      </c>
      <c r="I31" s="50">
        <v>20</v>
      </c>
      <c r="J31" s="8">
        <f>H31-I31</f>
        <v>0</v>
      </c>
      <c r="K31" s="9">
        <f>(I31/(I31+J31))</f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9">
        <v>1780</v>
      </c>
      <c r="C3" s="40">
        <v>1410</v>
      </c>
      <c r="D3" s="41">
        <v>370</v>
      </c>
    </row>
    <row r="4" spans="1:4" ht="15.75" customHeight="1">
      <c r="A4" s="30" t="s">
        <v>32</v>
      </c>
      <c r="B4" s="42"/>
      <c r="C4" s="43"/>
      <c r="D4" s="44"/>
    </row>
    <row r="5" spans="1:4" ht="15.75" customHeight="1">
      <c r="A5" s="31" t="s">
        <v>33</v>
      </c>
      <c r="B5" s="45">
        <v>1780</v>
      </c>
      <c r="C5" s="46">
        <v>1410</v>
      </c>
      <c r="D5" s="47">
        <v>370</v>
      </c>
    </row>
    <row r="12" spans="1:4" ht="13">
      <c r="A12" s="12" t="s">
        <v>14</v>
      </c>
      <c r="B12" s="13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3" sqref="D3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1930</v>
      </c>
      <c r="B2" s="15">
        <f>SUM('liste des taches'!I:I)</f>
        <v>1930</v>
      </c>
      <c r="C2" s="15">
        <f>SUM('liste des taches'!J:J)</f>
        <v>0</v>
      </c>
      <c r="D2" s="16">
        <f>(B2/(B2+C2))</f>
        <v>1</v>
      </c>
      <c r="E2" s="17">
        <f>((B2+C2)-A2)/A2</f>
        <v>0</v>
      </c>
    </row>
    <row r="3" spans="1:5" ht="15.75" customHeight="1">
      <c r="A3" s="18"/>
      <c r="B3" s="18"/>
      <c r="C3" s="15">
        <f>C2/60</f>
        <v>0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1"/>
  <sheetViews>
    <sheetView topLeftCell="A13" workbookViewId="0">
      <selection activeCell="I27" sqref="I27"/>
    </sheetView>
  </sheetViews>
  <sheetFormatPr defaultColWidth="12.6328125" defaultRowHeight="15.75" customHeight="1"/>
  <sheetData>
    <row r="1" spans="1:10" ht="15.75" customHeight="1">
      <c r="A1" s="19" t="s">
        <v>4</v>
      </c>
      <c r="B1" s="20" t="s">
        <v>27</v>
      </c>
      <c r="C1" s="21">
        <v>46153</v>
      </c>
      <c r="D1" s="21">
        <v>46154</v>
      </c>
      <c r="E1" s="21">
        <v>46155</v>
      </c>
      <c r="F1" s="21">
        <v>46156</v>
      </c>
      <c r="G1" s="21">
        <v>46157</v>
      </c>
      <c r="H1" s="21">
        <v>46158</v>
      </c>
      <c r="I1" s="21">
        <v>46159</v>
      </c>
      <c r="J1" s="21">
        <v>46160</v>
      </c>
    </row>
    <row r="2" spans="1:10" ht="15.75" customHeight="1">
      <c r="A2" s="5">
        <v>1</v>
      </c>
      <c r="B2" s="15">
        <f>SUM(C2:J2)</f>
        <v>10</v>
      </c>
      <c r="C2" s="18">
        <v>10</v>
      </c>
      <c r="D2" s="22"/>
      <c r="E2" s="18"/>
    </row>
    <row r="3" spans="1:10" ht="15.75" customHeight="1">
      <c r="A3" s="5">
        <v>2</v>
      </c>
      <c r="B3" s="15">
        <f>SUM(C3:J3)</f>
        <v>60</v>
      </c>
      <c r="C3" s="18">
        <v>60</v>
      </c>
      <c r="D3" s="18"/>
      <c r="E3" s="18"/>
    </row>
    <row r="4" spans="1:10" ht="15.75" customHeight="1">
      <c r="A4" s="5">
        <v>3</v>
      </c>
      <c r="B4" s="15">
        <f t="shared" ref="B4:B31" si="0">SUM(C4:J4)</f>
        <v>720</v>
      </c>
      <c r="C4" s="22">
        <v>200</v>
      </c>
      <c r="D4" s="22">
        <v>520</v>
      </c>
      <c r="E4" s="18"/>
    </row>
    <row r="5" spans="1:10" ht="15.75" customHeight="1">
      <c r="A5" s="5">
        <v>4</v>
      </c>
      <c r="B5" s="15">
        <f t="shared" si="0"/>
        <v>30</v>
      </c>
      <c r="C5" s="18"/>
      <c r="D5" s="18">
        <v>30</v>
      </c>
      <c r="E5" s="18"/>
    </row>
    <row r="6" spans="1:10" ht="15.75" customHeight="1">
      <c r="A6" s="5">
        <v>5</v>
      </c>
      <c r="B6" s="15">
        <f t="shared" si="0"/>
        <v>120</v>
      </c>
      <c r="C6" s="18"/>
      <c r="D6" s="23">
        <v>120</v>
      </c>
      <c r="E6" s="18"/>
    </row>
    <row r="7" spans="1:10" ht="15.75" customHeight="1">
      <c r="A7" s="5">
        <v>6</v>
      </c>
      <c r="B7" s="15">
        <f t="shared" si="0"/>
        <v>30</v>
      </c>
      <c r="C7" s="18"/>
      <c r="D7" s="18">
        <v>30</v>
      </c>
      <c r="E7" s="18"/>
    </row>
    <row r="8" spans="1:10" ht="15.75" customHeight="1">
      <c r="A8" s="5">
        <v>7</v>
      </c>
      <c r="B8" s="15">
        <f t="shared" si="0"/>
        <v>180</v>
      </c>
      <c r="C8" s="18"/>
      <c r="D8" s="23"/>
      <c r="E8" s="18">
        <v>180</v>
      </c>
    </row>
    <row r="9" spans="1:10" ht="15.75" customHeight="1">
      <c r="A9" s="5">
        <v>8</v>
      </c>
      <c r="B9" s="15">
        <f t="shared" si="0"/>
        <v>30</v>
      </c>
      <c r="D9" s="11"/>
      <c r="E9">
        <v>30</v>
      </c>
    </row>
    <row r="10" spans="1:10" ht="15.75" customHeight="1">
      <c r="A10" s="5">
        <v>9</v>
      </c>
      <c r="B10" s="15">
        <f t="shared" si="0"/>
        <v>70</v>
      </c>
      <c r="F10">
        <v>70</v>
      </c>
    </row>
    <row r="11" spans="1:10" ht="15.75" customHeight="1">
      <c r="A11" s="5">
        <v>10</v>
      </c>
      <c r="B11" s="15">
        <f t="shared" si="0"/>
        <v>10</v>
      </c>
      <c r="F11">
        <v>10</v>
      </c>
    </row>
    <row r="12" spans="1:10" ht="15.75" customHeight="1">
      <c r="A12" s="35">
        <v>11</v>
      </c>
      <c r="B12" s="15">
        <f t="shared" si="0"/>
        <v>10</v>
      </c>
      <c r="F12">
        <v>10</v>
      </c>
    </row>
    <row r="13" spans="1:10" ht="15.75" customHeight="1">
      <c r="A13" s="5">
        <v>12</v>
      </c>
      <c r="B13" s="15">
        <f t="shared" si="0"/>
        <v>30</v>
      </c>
      <c r="F13">
        <v>30</v>
      </c>
    </row>
    <row r="14" spans="1:10" ht="15.75" customHeight="1">
      <c r="A14" s="5">
        <v>13</v>
      </c>
      <c r="B14" s="15">
        <f t="shared" si="0"/>
        <v>80</v>
      </c>
      <c r="G14">
        <v>80</v>
      </c>
    </row>
    <row r="15" spans="1:10" ht="15.75" customHeight="1">
      <c r="A15" s="5">
        <v>14</v>
      </c>
      <c r="B15" s="15">
        <f t="shared" si="0"/>
        <v>10</v>
      </c>
      <c r="G15">
        <v>10</v>
      </c>
    </row>
    <row r="16" spans="1:10" ht="15.75" customHeight="1">
      <c r="A16" s="10">
        <v>15</v>
      </c>
      <c r="B16" s="15">
        <f t="shared" si="0"/>
        <v>120</v>
      </c>
      <c r="G16">
        <v>120</v>
      </c>
    </row>
    <row r="17" spans="1:9" ht="15.75" customHeight="1">
      <c r="A17" s="10">
        <v>16</v>
      </c>
      <c r="B17" s="15">
        <f t="shared" si="0"/>
        <v>60</v>
      </c>
      <c r="G17">
        <v>60</v>
      </c>
    </row>
    <row r="18" spans="1:9" ht="15.75" customHeight="1">
      <c r="A18" s="10">
        <v>17</v>
      </c>
      <c r="B18" s="15">
        <f t="shared" si="0"/>
        <v>30</v>
      </c>
      <c r="H18">
        <v>30</v>
      </c>
    </row>
    <row r="19" spans="1:9" ht="15.75" customHeight="1">
      <c r="A19" s="10">
        <v>18</v>
      </c>
      <c r="B19" s="15">
        <f t="shared" si="0"/>
        <v>30</v>
      </c>
      <c r="H19">
        <v>30</v>
      </c>
    </row>
    <row r="20" spans="1:9" ht="15.75" customHeight="1">
      <c r="A20" s="10">
        <v>19</v>
      </c>
      <c r="B20" s="15">
        <f t="shared" si="0"/>
        <v>20</v>
      </c>
      <c r="H20">
        <v>20</v>
      </c>
    </row>
    <row r="21" spans="1:9" ht="15.75" customHeight="1">
      <c r="A21" s="10">
        <v>20</v>
      </c>
      <c r="B21" s="15">
        <f t="shared" si="0"/>
        <v>10</v>
      </c>
      <c r="H21">
        <v>10</v>
      </c>
    </row>
    <row r="22" spans="1:9" ht="15.75" customHeight="1">
      <c r="A22" s="10">
        <v>21</v>
      </c>
      <c r="B22" s="15">
        <f t="shared" si="0"/>
        <v>5</v>
      </c>
      <c r="H22">
        <v>5</v>
      </c>
    </row>
    <row r="23" spans="1:9" ht="15.75" customHeight="1">
      <c r="A23" s="10">
        <v>22</v>
      </c>
      <c r="B23" s="15">
        <f t="shared" si="0"/>
        <v>5</v>
      </c>
      <c r="H23">
        <v>5</v>
      </c>
    </row>
    <row r="24" spans="1:9" ht="15.75" customHeight="1">
      <c r="A24" s="10">
        <v>23</v>
      </c>
      <c r="B24" s="15">
        <f t="shared" si="0"/>
        <v>30</v>
      </c>
      <c r="H24">
        <v>30</v>
      </c>
    </row>
    <row r="25" spans="1:9" ht="15.75" customHeight="1">
      <c r="A25" s="10">
        <v>24</v>
      </c>
      <c r="B25" s="15">
        <f t="shared" si="0"/>
        <v>30</v>
      </c>
      <c r="H25">
        <v>15</v>
      </c>
      <c r="I25">
        <v>15</v>
      </c>
    </row>
    <row r="26" spans="1:9" ht="15.75" customHeight="1">
      <c r="A26" s="10">
        <v>25</v>
      </c>
      <c r="B26" s="15">
        <f t="shared" si="0"/>
        <v>40</v>
      </c>
      <c r="I26">
        <v>40</v>
      </c>
    </row>
    <row r="27" spans="1:9" ht="15.75" customHeight="1">
      <c r="A27" s="10">
        <v>26</v>
      </c>
      <c r="B27" s="15">
        <f t="shared" si="0"/>
        <v>0</v>
      </c>
    </row>
    <row r="28" spans="1:9" ht="15.75" customHeight="1">
      <c r="A28" s="10">
        <v>27</v>
      </c>
      <c r="B28" s="15">
        <f t="shared" si="0"/>
        <v>0</v>
      </c>
    </row>
    <row r="29" spans="1:9" ht="15.75" customHeight="1">
      <c r="A29" s="10">
        <v>28</v>
      </c>
      <c r="B29" s="15">
        <f t="shared" si="0"/>
        <v>0</v>
      </c>
    </row>
    <row r="30" spans="1:9" ht="15.75" customHeight="1">
      <c r="A30" s="10">
        <v>29</v>
      </c>
      <c r="B30" s="15">
        <f t="shared" si="0"/>
        <v>0</v>
      </c>
    </row>
    <row r="31" spans="1:9" ht="15.75" customHeight="1">
      <c r="A31" s="52">
        <v>30</v>
      </c>
      <c r="B31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2026-05-19T08:50:58Z</dcterms:modified>
</cp:coreProperties>
</file>