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CE0ADDA1-C363-40D8-9F8D-8ACB7D0D8D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<sst xmlns="http://schemas.openxmlformats.org/spreadsheetml/2006/main" count="150" uniqueCount="75">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</sst>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5.934006828706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2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0"/>
    <n v="60"/>
    <n v="0"/>
  </r>
  <r>
    <s v="FrontOffice"/>
    <s v="Gestion commande"/>
    <s v="CommandeManage"/>
    <s v="Validation com (pay livraison sans frai)"/>
    <s v="Metier"/>
    <x v="0"/>
    <n v="240"/>
    <n v="0"/>
    <n v="240"/>
    <n v="0"/>
  </r>
  <r>
    <s v="Backoffice"/>
    <s v="Gestion de donnee"/>
    <s v="(---------)"/>
    <s v="Mise a jours des donnees dans existingApp New -&gt; ext"/>
    <s v="Metier"/>
    <x v="0"/>
    <n v="30"/>
    <n v="0"/>
    <n v="30"/>
    <n v="0"/>
  </r>
  <r>
    <s v="Backoffice"/>
    <s v="Gestion de donnee"/>
    <s v="(---------)"/>
    <s v="Mise a jours des donnees dans existingApp ext -&gt; new"/>
    <s v="Metier"/>
    <x v="0"/>
    <n v="30"/>
    <n v="0"/>
    <n v="30"/>
    <n v="0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0"/>
    <n v="70"/>
    <n v="0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workbookViewId="0">
      <selection activeCell="E5" sqref="E5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20</v>
      </c>
      <c r="J9" s="8">
        <f t="shared" si="4"/>
        <v>40</v>
      </c>
      <c r="K9" s="9">
        <f>(I9/(I9+J9))</f>
        <v>0.33333333333333331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30</v>
      </c>
      <c r="J17" s="8">
        <f t="shared" si="4"/>
        <v>40</v>
      </c>
      <c r="K17" s="9">
        <f>(I17/(I17+J17))</f>
        <v>0.42857142857142855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1920</v>
      </c>
      <c r="C3" s="38">
        <v>790</v>
      </c>
      <c r="D3" s="39">
        <v>1130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1920</v>
      </c>
      <c r="C5" s="44">
        <v>790</v>
      </c>
      <c r="D5" s="45">
        <v>1130</v>
      </c>
    </row>
    <row r="12" spans="1:4" ht="13">
      <c r="A12" s="12" t="s">
        <v>14</v>
      </c>
      <c r="B12" s="13">
        <f>avancement!D2</f>
        <v>0.54385964912280704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1710</v>
      </c>
      <c r="B2" s="15">
        <f>SUM('liste des taches'!I:I)</f>
        <v>930</v>
      </c>
      <c r="C2" s="15">
        <f>SUM('liste des taches'!J:J)</f>
        <v>780</v>
      </c>
      <c r="D2" s="16">
        <f>(B2/(B2+C2))</f>
        <v>0.54385964912280704</v>
      </c>
      <c r="E2" s="17">
        <f>((B2+C2)-A2)/A2</f>
        <v>0</v>
      </c>
    </row>
    <row r="3" spans="1:5" ht="15.75" customHeight="1">
      <c r="A3" s="18"/>
      <c r="B3" s="18"/>
      <c r="C3" s="15">
        <f>C2/60</f>
        <v>13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2026-05-13T22:19:32Z</dcterms:modified>
</cp:coreProperties>
</file>