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CE0ADDA1-C363-40D8-9F8D-8ACB7D0D8D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I13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<sst xmlns="http://schemas.openxmlformats.org/spreadsheetml/2006/main" count="150" uniqueCount="75">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</sst>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5.934006828706" refreshedVersion="8" recordCount="20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10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2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60"/>
    <n v="0"/>
    <n v="60"/>
    <n v="0"/>
  </r>
  <r>
    <s v="FrontOffice"/>
    <s v="Gestion commande"/>
    <s v="CommandeManage"/>
    <s v="Validation com (pay livraison sans frai)"/>
    <s v="Metier"/>
    <x v="0"/>
    <n v="240"/>
    <n v="0"/>
    <n v="240"/>
    <n v="0"/>
  </r>
  <r>
    <s v="Backoffice"/>
    <s v="Gestion de donnee"/>
    <s v="(---------)"/>
    <s v="Mise a jours des donnees dans existingApp New -&gt; ext"/>
    <s v="Metier"/>
    <x v="0"/>
    <n v="30"/>
    <n v="0"/>
    <n v="30"/>
    <n v="0"/>
  </r>
  <r>
    <s v="Backoffice"/>
    <s v="Gestion de donnee"/>
    <s v="(---------)"/>
    <s v="Mise a jours des donnees dans existingApp ext -&gt; new"/>
    <s v="Metier"/>
    <x v="0"/>
    <n v="30"/>
    <n v="0"/>
    <n v="30"/>
    <n v="0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70"/>
    <n v="0"/>
    <n v="70"/>
    <n v="0"/>
  </r>
  <r>
    <s v="FrontOffice"/>
    <s v="Gestion Utilisateur"/>
    <s v="Index"/>
    <s v="Connection Anonyme"/>
    <s v="Metier"/>
    <x v="0"/>
    <n v="70"/>
    <n v="0"/>
    <n v="70"/>
    <n v="0"/>
  </r>
  <r>
    <s v="FrontOffice"/>
    <s v="Gestion Produits"/>
    <s v="ProduitList"/>
    <s v="Marquer les produits selon leurs dates"/>
    <s v="Metier"/>
    <x v="0"/>
    <n v="120"/>
    <n v="0"/>
    <n v="120"/>
    <n v="0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0"/>
  <sheetViews>
    <sheetView tabSelected="1" workbookViewId="0">
      <selection activeCell="F6" sqref="F6"/>
    </sheetView>
  </sheetViews>
  <sheetFormatPr defaultColWidth="12.6328125" defaultRowHeight="15.75" customHeight="1"/>
  <cols>
    <col min="1" max="1" width="5.90625" customWidth="1"/>
    <col min="2" max="2" width="19" customWidth="1"/>
    <col min="3" max="3" width="18" customWidth="1"/>
    <col min="4" max="4" width="19.90625" customWidth="1"/>
    <col min="5" max="5" width="20.72656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60</v>
      </c>
      <c r="I9" s="8">
        <v>20</v>
      </c>
      <c r="J9" s="8">
        <f t="shared" si="4"/>
        <v>40</v>
      </c>
      <c r="K9" s="9">
        <f>(I9/(I9+J9))</f>
        <v>0.33333333333333331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60</v>
      </c>
      <c r="I13" s="8">
        <f>detail_avancement!B12</f>
        <v>0</v>
      </c>
      <c r="J13" s="8">
        <f t="shared" si="4"/>
        <v>60</v>
      </c>
      <c r="K13" s="9">
        <f t="shared" ref="K13" si="6">(I13/(I13+J13))</f>
        <v>0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70</v>
      </c>
      <c r="I17" s="8">
        <v>30</v>
      </c>
      <c r="J17" s="8">
        <f t="shared" si="4"/>
        <v>40</v>
      </c>
      <c r="K17" s="9">
        <f>(I17/(I17+J17))</f>
        <v>0.42857142857142855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70</v>
      </c>
      <c r="I18" s="8">
        <v>0</v>
      </c>
      <c r="J18" s="8">
        <f t="shared" si="4"/>
        <v>70</v>
      </c>
      <c r="K18" s="9">
        <f>(I18/(I18+J18))</f>
        <v>0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120</v>
      </c>
      <c r="I19" s="8">
        <v>0</v>
      </c>
      <c r="J19" s="8">
        <f t="shared" si="4"/>
        <v>120</v>
      </c>
      <c r="K19" s="9">
        <f>(I19/(I19+J19))</f>
        <v>0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0</v>
      </c>
      <c r="J20" s="8">
        <f t="shared" si="4"/>
        <v>140</v>
      </c>
      <c r="K20" s="9">
        <f>(I20/(I20+J20))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C14" sqref="C14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1920</v>
      </c>
      <c r="C3" s="38">
        <v>790</v>
      </c>
      <c r="D3" s="39">
        <v>1130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1920</v>
      </c>
      <c r="C5" s="44">
        <v>790</v>
      </c>
      <c r="D5" s="45">
        <v>1130</v>
      </c>
    </row>
    <row r="12" spans="1:4" ht="13">
      <c r="A12" s="12" t="s">
        <v>14</v>
      </c>
      <c r="B12" s="13">
        <f>avancement!D2</f>
        <v>0.54385964912280704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1710</v>
      </c>
      <c r="B2" s="15">
        <f>SUM('liste des taches'!I:I)</f>
        <v>930</v>
      </c>
      <c r="C2" s="15">
        <f>SUM('liste des taches'!J:J)</f>
        <v>780</v>
      </c>
      <c r="D2" s="16">
        <f>(B2/(B2+C2))</f>
        <v>0.54385964912280704</v>
      </c>
      <c r="E2" s="17">
        <f>((B2+C2)-A2)/A2</f>
        <v>0</v>
      </c>
    </row>
    <row r="3" spans="1:5" ht="15.75" customHeight="1">
      <c r="A3" s="18"/>
      <c r="B3" s="18"/>
      <c r="C3" s="15">
        <f>C2/60</f>
        <v>13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2026-05-13T21:45:24Z</dcterms:modified>
</cp:coreProperties>
</file>