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78803127-2EA9-46F5-AA4B-78B07E0CDF5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<sst xmlns="http://schemas.openxmlformats.org/spreadsheetml/2006/main" count="150" uniqueCount="75">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</sst>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6.230681712965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4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60"/>
    <n v="20"/>
    <n v="40"/>
    <n v="0.3333333333333333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30"/>
    <n v="40"/>
    <n v="0.42857142857142855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workbookViewId="0">
      <selection activeCell="F5" sqref="F5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20</v>
      </c>
      <c r="J9" s="8">
        <f t="shared" si="4"/>
        <v>40</v>
      </c>
      <c r="K9" s="9">
        <f>(I9/(I9+J9))</f>
        <v>0.33333333333333331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30</v>
      </c>
      <c r="J17" s="8">
        <f t="shared" si="4"/>
        <v>40</v>
      </c>
      <c r="K17" s="9">
        <f>(I17/(I17+J17))</f>
        <v>0.42857142857142855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1710</v>
      </c>
      <c r="C3" s="38">
        <v>930</v>
      </c>
      <c r="D3" s="39">
        <v>780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1710</v>
      </c>
      <c r="C5" s="44">
        <v>930</v>
      </c>
      <c r="D5" s="45">
        <v>780</v>
      </c>
    </row>
    <row r="12" spans="1:4" ht="13">
      <c r="A12" s="12" t="s">
        <v>14</v>
      </c>
      <c r="B12" s="13">
        <f>avancement!D2</f>
        <v>0.54385964912280704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1710</v>
      </c>
      <c r="B2" s="15">
        <f>SUM('liste des taches'!I:I)</f>
        <v>930</v>
      </c>
      <c r="C2" s="15">
        <f>SUM('liste des taches'!J:J)</f>
        <v>780</v>
      </c>
      <c r="D2" s="16">
        <f>(B2/(B2+C2))</f>
        <v>0.54385964912280704</v>
      </c>
      <c r="E2" s="17">
        <f>((B2+C2)-A2)/A2</f>
        <v>0</v>
      </c>
    </row>
    <row r="3" spans="1:5" ht="15.75" customHeight="1">
      <c r="A3" s="18"/>
      <c r="B3" s="18"/>
      <c r="C3" s="15">
        <f>C2/60</f>
        <v>13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2026-05-14T02:55:03Z</dcterms:modified>
</cp:coreProperties>
</file>