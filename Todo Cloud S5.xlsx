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C45C154D-C5BB-47AB-BA69-43AECA5624E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2" l="1"/>
  <c r="K27" i="2" s="1"/>
  <c r="J25" i="2"/>
  <c r="K25" i="2" s="1"/>
  <c r="J24" i="2"/>
  <c r="K24" i="2" s="1"/>
  <c r="J21" i="2"/>
  <c r="K21" i="2" s="1"/>
  <c r="J26" i="2"/>
  <c r="K26" i="2" s="1"/>
  <c r="J23" i="2"/>
  <c r="K23" i="2" s="1"/>
  <c r="J22" i="2"/>
  <c r="K22" i="2" s="1"/>
  <c r="J7" i="2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<sst xmlns="http://schemas.openxmlformats.org/spreadsheetml/2006/main" count="192" uniqueCount="88">
  <si>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</si>
  <si>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</si>
  <si>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</si>
  <si>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</si>
  <si>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</si>
  <si>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</si>
  <si>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</si>
  <si>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</si>
  <si>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</si>
  <si>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</si>
  <si>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</si>
  <si>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</si>
  <si>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</si>
  <si>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</si>
  <si>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</si>
  <si>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</si>
  <si>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</si>
  <si>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</si>
  <si>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</si>
  <si>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</si>
  <si>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</si>
  <si>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</si>
  <si>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</si>
  <si>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</si>
  <si>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</si>
  <si>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</si>
  <si>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</si>
  <si>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</si>
  <si>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</si>
  <si>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</si>
  <si>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</si>
  <si>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</si>
  <si>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</si>
  <si>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</si>
  <si>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</si>
  <si>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</si>
  <si>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</si>
  <si>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</si>
  <si>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</si>
  <si>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</si>
  <si>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</si>
  <si>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</si>
  <si>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</si>
  <si>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</si>
  <si>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</si>
  <si>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</si>
  <si>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</si>
  <si>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</si>
  <si>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</si>
  <si>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</si>
  <si>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</si>
  <si>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</si>
  <si>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</si>
  <si>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</si>
  <si>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</si>
  <si>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</si>
  <si>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</si>
  <si>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</si>
  <si>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</si>
  <si>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</si>
  <si>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</si>
  <si>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</si>
  <si>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</si>
  <si>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</si>
  <si>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</si>
  <si>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</si>
  <si>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</si>
  <si>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</si>
  <si>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</si>
  <si>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</si>
  <si>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</si>
  <si>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</si>
  <si>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</si>
  <si>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</si>
  <si>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</si>
  <si>
    <t>Gestion Donnee</t>
  </si>
  <si>
    <t>(--------)</t>
  </si>
  <si>
    <t>Verification colonne</t>
  </si>
  <si>
    <t>Verification date</t>
  </si>
  <si>
    <t>Montant positif</t>
  </si>
  <si>
    <t>Gestion Stock</t>
  </si>
  <si>
    <t>StockPages</t>
  </si>
  <si>
    <t>Afficher les quantites en stocks</t>
  </si>
  <si>
    <t>StockPagesAdd</t>
  </si>
  <si>
    <t>Page d'ajout de stock de produit</t>
  </si>
  <si>
    <t>DashBoardStock</t>
  </si>
  <si>
    <t>Rajout d'un tableau sur l’évolution du stock journalier d’un produit</t>
  </si>
  <si>
    <t>Etat de Stock pour chaque clients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</si>
</sst>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8.274117939814" refreshedVersion="8" recordCount="25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5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30"/>
    <n v="30"/>
    <n v="0"/>
    <n v="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60"/>
    <n v="60"/>
    <n v="0"/>
    <n v="1"/>
  </r>
  <r>
    <s v="FrontOffice"/>
    <s v="Gestion Utilisateur"/>
    <s v="Index"/>
    <s v="Connection Anonyme"/>
    <s v="Metier"/>
    <x v="0"/>
    <n v="30"/>
    <n v="30"/>
    <n v="0"/>
    <n v="1"/>
  </r>
  <r>
    <s v="FrontOffice"/>
    <s v="Gestion Produits"/>
    <s v="ProduitList"/>
    <s v="Marquer les produits selon leurs dates"/>
    <s v="Metier"/>
    <x v="0"/>
    <n v="30"/>
    <n v="30"/>
    <n v="0"/>
    <n v="1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s v="Backoffice"/>
    <s v="Gestion Donnee"/>
    <s v="(--------)"/>
    <s v="Verification colonne"/>
    <s v="Metier"/>
    <x v="0"/>
    <n v="10"/>
    <n v="0"/>
    <n v="10"/>
    <n v="0"/>
  </r>
  <r>
    <s v="Backoffice"/>
    <s v="Gestion Donnee"/>
    <s v="(--------)"/>
    <s v="Verification date"/>
    <s v="Metier"/>
    <x v="0"/>
    <n v="5"/>
    <n v="0"/>
    <n v="5"/>
    <n v="0"/>
  </r>
  <r>
    <s v="Backoffice"/>
    <s v="Gestion Donnee"/>
    <s v="(--------)"/>
    <s v="Montant positif"/>
    <s v="Metier"/>
    <x v="0"/>
    <n v="5"/>
    <n v="0"/>
    <n v="5"/>
    <n v="0"/>
  </r>
  <r>
    <s v="FrontOffice"/>
    <s v="Gestion Stock"/>
    <s v="StockPages"/>
    <s v="Afficher les quantites en stocks"/>
    <s v="Affichage"/>
    <x v="0"/>
    <n v="40"/>
    <n v="0"/>
    <n v="40"/>
    <n v="0"/>
  </r>
  <r>
    <s v="Backoffice/FrontOffice"/>
    <s v="(---------)"/>
    <s v="(-----------)"/>
    <s v="Integration/Test"/>
    <s v="Metier/Affichage"/>
    <x v="0"/>
    <n v="60"/>
    <n v="0"/>
    <n v="6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7"/>
  <sheetViews>
    <sheetView tabSelected="1" topLeftCell="B13" workbookViewId="0">
      <selection activeCell="H27" sqref="H27"/>
    </sheetView>
  </sheetViews>
  <sheetFormatPr defaultColWidth="12.6328125" defaultRowHeight="15.75" customHeight="1"/>
  <cols>
    <col min="1" max="1" width="5.90625" customWidth="1"/>
    <col min="2" max="2" width="21.08984375" customWidth="1"/>
    <col min="3" max="3" width="18" customWidth="1"/>
    <col min="4" max="4" width="19.90625" customWidth="1"/>
    <col min="5" max="5" width="51.363281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30</v>
      </c>
      <c r="I13" s="8">
        <v>30</v>
      </c>
      <c r="J13" s="8">
        <f t="shared" si="4"/>
        <v>0</v>
      </c>
      <c r="K13" s="9">
        <f t="shared" ref="K13" si="6">(I13/(I13+J13))</f>
        <v>1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 t="shared" ref="K17:K25" si="10"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 t="shared" si="10"/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 t="shared" si="10"/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140</v>
      </c>
      <c r="J20" s="8">
        <f t="shared" si="4"/>
        <v>0</v>
      </c>
      <c r="K20" s="9">
        <f t="shared" si="10"/>
        <v>1</v>
      </c>
    </row>
    <row r="21" spans="1:11" ht="15.75" customHeight="1">
      <c r="A21" s="10">
        <v>20</v>
      </c>
      <c r="B21" s="33" t="s">
        <v>15</v>
      </c>
      <c r="C21" s="7" t="s">
        <v>75</v>
      </c>
      <c r="D21" s="34" t="s">
        <v>76</v>
      </c>
      <c r="E21" s="7" t="s">
        <v>77</v>
      </c>
      <c r="F21" s="7" t="s">
        <v>19</v>
      </c>
      <c r="G21" s="32" t="s">
        <v>34</v>
      </c>
      <c r="H21" s="6">
        <v>10</v>
      </c>
      <c r="I21" s="8">
        <v>10</v>
      </c>
      <c r="J21" s="8">
        <f t="shared" ref="J21:J24" si="11">H21-I21</f>
        <v>0</v>
      </c>
      <c r="K21" s="9">
        <f t="shared" si="10"/>
        <v>1</v>
      </c>
    </row>
    <row r="22" spans="1:11" ht="15.75" customHeight="1">
      <c r="A22" s="10">
        <v>21</v>
      </c>
      <c r="B22" s="33" t="s">
        <v>15</v>
      </c>
      <c r="C22" s="7" t="s">
        <v>75</v>
      </c>
      <c r="D22" s="34" t="s">
        <v>76</v>
      </c>
      <c r="E22" s="7" t="s">
        <v>78</v>
      </c>
      <c r="F22" s="7" t="s">
        <v>19</v>
      </c>
      <c r="G22" s="32" t="s">
        <v>34</v>
      </c>
      <c r="H22" s="6">
        <v>5</v>
      </c>
      <c r="I22" s="8">
        <v>5</v>
      </c>
      <c r="J22" s="8">
        <f t="shared" si="11"/>
        <v>0</v>
      </c>
      <c r="K22" s="9">
        <f t="shared" si="10"/>
        <v>1</v>
      </c>
    </row>
    <row r="23" spans="1:11" ht="15.75" customHeight="1">
      <c r="A23" s="10">
        <v>22</v>
      </c>
      <c r="B23" s="33" t="s">
        <v>15</v>
      </c>
      <c r="C23" s="7" t="s">
        <v>75</v>
      </c>
      <c r="D23" s="34" t="s">
        <v>76</v>
      </c>
      <c r="E23" s="7" t="s">
        <v>79</v>
      </c>
      <c r="F23" s="7" t="s">
        <v>19</v>
      </c>
      <c r="G23" s="32" t="s">
        <v>34</v>
      </c>
      <c r="H23" s="6">
        <v>5</v>
      </c>
      <c r="I23" s="8">
        <v>5</v>
      </c>
      <c r="J23" s="8">
        <f t="shared" si="11"/>
        <v>0</v>
      </c>
      <c r="K23" s="9">
        <f t="shared" si="10"/>
        <v>1</v>
      </c>
    </row>
    <row r="24" spans="1:11" ht="15.75" customHeight="1">
      <c r="A24" s="10">
        <v>23</v>
      </c>
      <c r="B24" s="33" t="s">
        <v>44</v>
      </c>
      <c r="C24" s="7" t="s">
        <v>80</v>
      </c>
      <c r="D24" s="34" t="s">
        <v>83</v>
      </c>
      <c r="E24" s="7" t="s">
        <v>84</v>
      </c>
      <c r="F24" s="7" t="s">
        <v>19</v>
      </c>
      <c r="G24" s="32" t="s">
        <v>34</v>
      </c>
      <c r="H24" s="6">
        <v>60</v>
      </c>
      <c r="I24" s="8">
        <v>0</v>
      </c>
      <c r="J24" s="8">
        <f t="shared" ref="J24" si="12">H24-I24</f>
        <v>60</v>
      </c>
      <c r="K24" s="9">
        <f t="shared" ref="K24" si="13">(I24/(I24+J24))</f>
        <v>0</v>
      </c>
    </row>
    <row r="25" spans="1:11" ht="15.75" customHeight="1">
      <c r="A25" s="10">
        <v>24</v>
      </c>
      <c r="B25" s="33" t="s">
        <v>15</v>
      </c>
      <c r="C25" s="7" t="s">
        <v>80</v>
      </c>
      <c r="D25" s="34" t="s">
        <v>85</v>
      </c>
      <c r="E25" s="33" t="s">
        <v>86</v>
      </c>
      <c r="F25" s="7" t="s">
        <v>19</v>
      </c>
      <c r="G25" s="32" t="s">
        <v>34</v>
      </c>
      <c r="H25" s="6">
        <v>60</v>
      </c>
      <c r="I25" s="8">
        <v>0</v>
      </c>
      <c r="J25" s="8">
        <f t="shared" ref="J25" si="14">H25-I25</f>
        <v>60</v>
      </c>
      <c r="K25" s="9">
        <f t="shared" ref="K25" si="15">(I25/(I25+J25))</f>
        <v>0</v>
      </c>
    </row>
    <row r="26" spans="1:11" ht="15.75" customHeight="1">
      <c r="A26" s="10">
        <v>25</v>
      </c>
      <c r="B26" s="33" t="s">
        <v>44</v>
      </c>
      <c r="C26" s="7" t="s">
        <v>80</v>
      </c>
      <c r="D26" s="34" t="s">
        <v>81</v>
      </c>
      <c r="E26" s="7" t="s">
        <v>82</v>
      </c>
      <c r="F26" s="7" t="s">
        <v>18</v>
      </c>
      <c r="G26" s="32" t="s">
        <v>34</v>
      </c>
      <c r="H26" s="6">
        <v>40</v>
      </c>
      <c r="I26" s="8">
        <v>0</v>
      </c>
      <c r="J26" s="8">
        <f>H26-I26</f>
        <v>40</v>
      </c>
      <c r="K26" s="9">
        <f>(I26/(I26+J26))</f>
        <v>0</v>
      </c>
    </row>
    <row r="27" spans="1:11" ht="15.75" customHeight="1">
      <c r="A27" s="10">
        <v>26</v>
      </c>
      <c r="B27" s="33" t="s">
        <v>44</v>
      </c>
      <c r="C27" s="7" t="s">
        <v>80</v>
      </c>
      <c r="D27" s="34" t="s">
        <v>81</v>
      </c>
      <c r="E27" s="7" t="s">
        <v>87</v>
      </c>
      <c r="F27" s="7" t="s">
        <v>19</v>
      </c>
      <c r="G27" s="32" t="s">
        <v>34</v>
      </c>
      <c r="H27" s="6">
        <v>60</v>
      </c>
      <c r="I27" s="8">
        <v>0</v>
      </c>
      <c r="J27" s="8">
        <f>H27-I27</f>
        <v>60</v>
      </c>
      <c r="K27" s="9">
        <f>(I27/(I27+J27))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1660</v>
      </c>
      <c r="C3" s="38">
        <v>1030</v>
      </c>
      <c r="D3" s="39">
        <v>630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1660</v>
      </c>
      <c r="C5" s="44">
        <v>1030</v>
      </c>
      <c r="D5" s="45">
        <v>630</v>
      </c>
    </row>
    <row r="12" spans="1:4" ht="13">
      <c r="A12" s="12" t="s">
        <v>14</v>
      </c>
      <c r="B12" s="13">
        <f>avancement!D2</f>
        <v>0.69714285714285718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1750</v>
      </c>
      <c r="B2" s="15">
        <f>SUM('liste des taches'!I:I)</f>
        <v>1220</v>
      </c>
      <c r="C2" s="15">
        <f>SUM('liste des taches'!J:J)</f>
        <v>530</v>
      </c>
      <c r="D2" s="16">
        <f>(B2/(B2+C2))</f>
        <v>0.69714285714285718</v>
      </c>
      <c r="E2" s="17">
        <f>((B2+C2)-A2)/A2</f>
        <v>0</v>
      </c>
    </row>
    <row r="3" spans="1:5" ht="15.75" customHeight="1">
      <c r="A3" s="18"/>
      <c r="B3" s="18"/>
      <c r="C3" s="15">
        <f>C2/60</f>
        <v>8.8333333333333339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2026-05-16T16:26:42Z</dcterms:modified>
</cp:coreProperties>
</file>